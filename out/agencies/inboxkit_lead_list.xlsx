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 list" sheetId="1" state="visible" r:id="rId1"/>
    <sheet name="Scale &amp; cost" sheetId="2" state="visible" r:id="rId2"/>
  </sheets>
  <definedNames>
    <definedName name="_xlnm._FilterDatabase" localSheetId="0" hidden="1">'Lead list'!$A$1:$M$101</definedName>
  </definedNames>
  <calcPr calcId="124519" fullCalcOnLoad="1"/>
</workbook>
</file>

<file path=xl/styles.xml><?xml version="1.0" encoding="utf-8"?>
<styleSheet xmlns="http://schemas.openxmlformats.org/spreadsheetml/2006/main">
  <numFmts count="5">
    <numFmt numFmtId="164" formatCode="0.0%"/>
    <numFmt numFmtId="165" formatCode="$#,##0"/>
    <numFmt numFmtId="166" formatCode="$0.000"/>
    <numFmt numFmtId="167" formatCode="$#,##0.00"/>
    <numFmt numFmtId="168" formatCode="$0.00"/>
  </numFmts>
  <fonts count="7">
    <font>
      <name val="Calibri"/>
      <family val="2"/>
      <color theme="1"/>
      <sz val="11"/>
      <scheme val="minor"/>
    </font>
    <font>
      <name val="Arial"/>
      <b val="1"/>
      <color rgb="00FFFFFF"/>
    </font>
    <font>
      <name val="Arial"/>
    </font>
    <font>
      <name val="Arial"/>
      <b val="1"/>
    </font>
    <font>
      <name val="Arial"/>
      <color rgb="000000FF"/>
    </font>
    <font>
      <name val="Arial"/>
      <i val="1"/>
      <color rgb="00555555"/>
    </font>
    <font>
      <name val="Arial"/>
      <i val="1"/>
    </font>
  </fonts>
  <fills count="4">
    <fill>
      <patternFill/>
    </fill>
    <fill>
      <patternFill patternType="gray125"/>
    </fill>
    <fill>
      <patternFill patternType="solid">
        <fgColor rgb="001F2937"/>
      </patternFill>
    </fill>
    <fill>
      <patternFill patternType="solid">
        <fgColor rgb="00FFF59D"/>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xf numFmtId="0" fontId="3" fillId="0" borderId="0" pivotButton="0" quotePrefix="0" xfId="0"/>
    <xf numFmtId="3" fontId="4" fillId="3" borderId="0" pivotButton="0" quotePrefix="0" xfId="0"/>
    <xf numFmtId="0" fontId="5" fillId="0" borderId="0" applyAlignment="1" pivotButton="0" quotePrefix="0" xfId="0">
      <alignment vertical="top" wrapText="1"/>
    </xf>
    <xf numFmtId="164" fontId="4" fillId="3" borderId="0" pivotButton="0" quotePrefix="0" xfId="0"/>
    <xf numFmtId="3" fontId="2" fillId="0" borderId="0" pivotButton="0" quotePrefix="0" xfId="0"/>
    <xf numFmtId="165" fontId="4" fillId="3" borderId="0" pivotButton="0" quotePrefix="0" xfId="0"/>
    <xf numFmtId="166" fontId="4" fillId="3" borderId="0" pivotButton="0" quotePrefix="0" xfId="0"/>
    <xf numFmtId="165" fontId="2" fillId="0" borderId="0" pivotButton="0" quotePrefix="0" xfId="0"/>
    <xf numFmtId="2" fontId="4" fillId="3" borderId="0" pivotButton="0" quotePrefix="0" xfId="0"/>
    <xf numFmtId="167" fontId="4" fillId="3" borderId="0" pivotButton="0" quotePrefix="0" xfId="0"/>
    <xf numFmtId="165" fontId="3" fillId="0" borderId="0" pivotButton="0" quotePrefix="0" xfId="0"/>
    <xf numFmtId="168" fontId="3"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workflow</author>
  </authors>
  <commentList>
    <comment ref="G1" authorId="0" shapeId="0">
      <text>
        <t>pattern_mx_ok = guessed first@domain, domain has working MX, mailbox not verified. No paid finder or verifier was used for this list.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M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8" customWidth="1" min="2" max="2"/>
    <col width="24" customWidth="1" min="3" max="3"/>
    <col width="24" customWidth="1" min="4" max="4"/>
    <col width="42" customWidth="1" min="5" max="5"/>
    <col width="30" customWidth="1" min="6" max="6"/>
    <col width="18" customWidth="1" min="7" max="7"/>
    <col width="60" customWidth="1" min="8" max="8"/>
    <col width="48" customWidth="1" min="9" max="9"/>
    <col width="70" customWidth="1" min="10" max="10"/>
    <col width="14" customWidth="1" min="11" max="11"/>
    <col width="34" customWidth="1" min="12" max="12"/>
    <col width="16" customWidth="1" min="13" max="13"/>
  </cols>
  <sheetData>
    <row r="1">
      <c r="A1" s="1" t="inlineStr">
        <is>
          <t>Name</t>
        </is>
      </c>
      <c r="B1" s="1" t="inlineStr">
        <is>
          <t>Title</t>
        </is>
      </c>
      <c r="C1" s="1" t="inlineStr">
        <is>
          <t>Company</t>
        </is>
      </c>
      <c r="D1" s="1" t="inlineStr">
        <is>
          <t>Domain</t>
        </is>
      </c>
      <c r="E1" s="1" t="inlineStr">
        <is>
          <t>LinkedIn URL</t>
        </is>
      </c>
      <c r="F1" s="1" t="inlineStr">
        <is>
          <t>Email</t>
        </is>
      </c>
      <c r="G1" s="1" t="inlineStr">
        <is>
          <t>Verification status</t>
        </is>
      </c>
      <c r="H1" s="1" t="inlineStr">
        <is>
          <t>Signal that qualified them</t>
        </is>
      </c>
      <c r="I1" s="1" t="inlineStr">
        <is>
          <t>Source</t>
        </is>
      </c>
      <c r="J1" s="1" t="inlineStr">
        <is>
          <t>First line (workflow)</t>
        </is>
      </c>
      <c r="K1" s="1" t="inlineStr">
        <is>
          <t>First line basis</t>
        </is>
      </c>
      <c r="L1" s="1" t="inlineStr">
        <is>
          <t>Signal line (Clay prompt, not yet run)</t>
        </is>
      </c>
      <c r="M1" s="1" t="inlineStr">
        <is>
          <t>Country</t>
        </is>
      </c>
    </row>
    <row r="2">
      <c r="A2" s="2" t="inlineStr">
        <is>
          <t>Shipra Singh</t>
        </is>
      </c>
      <c r="B2" s="2" t="inlineStr">
        <is>
          <t>Founder &amp; CEO</t>
        </is>
      </c>
      <c r="C2" s="2" t="inlineStr">
        <is>
          <t>Blueberg</t>
        </is>
      </c>
      <c r="D2" s="2" t="inlineStr">
        <is>
          <t>blueberg.in</t>
        </is>
      </c>
      <c r="E2" s="2" t="inlineStr">
        <is>
          <t>https://www.linkedin.com/in/shipra-blueberg/</t>
        </is>
      </c>
      <c r="F2" s="2" t="inlineStr">
        <is>
          <t>shipra@blueberg.in</t>
        </is>
      </c>
      <c r="G2" s="2" t="inlineStr">
        <is>
          <t>pattern_mx_ok</t>
        </is>
      </c>
      <c r="H2" s="2" t="inlineStr">
        <is>
          <t>headcount growth &gt;=10% over 6 months; positioning mentions: outbound sales, multi-channel outreach, outbound, outreach</t>
        </is>
      </c>
      <c r="I2" s="2" t="inlineStr">
        <is>
          <t>Clay search export (clay_people_export.csv line 13), 2026-10-25</t>
        </is>
      </c>
      <c r="J2" s="2" t="inlineStr">
        <is>
          <t>Noticed blueberg.in publishes DMARC at p=none right now.</t>
        </is>
      </c>
      <c r="K2" s="2" t="inlineStr">
        <is>
          <t>dmarc</t>
        </is>
      </c>
      <c r="L2" s="2" t="inlineStr"/>
      <c r="M2" s="2" t="inlineStr">
        <is>
          <t>India</t>
        </is>
      </c>
    </row>
    <row r="3">
      <c r="A3" s="2" t="inlineStr">
        <is>
          <t>Srinith S</t>
        </is>
      </c>
      <c r="B3" s="2" t="inlineStr">
        <is>
          <t>Head of Operations</t>
        </is>
      </c>
      <c r="C3" s="2" t="inlineStr">
        <is>
          <t>Blueberg</t>
        </is>
      </c>
      <c r="D3" s="2" t="inlineStr">
        <is>
          <t>blueberg.in</t>
        </is>
      </c>
      <c r="E3" s="2" t="inlineStr">
        <is>
          <t>https://www.linkedin.com/in/srinith-s/</t>
        </is>
      </c>
      <c r="F3" s="2" t="inlineStr">
        <is>
          <t>srinith@blueberg.in</t>
        </is>
      </c>
      <c r="G3" s="2" t="inlineStr">
        <is>
          <t>pattern_mx_ok</t>
        </is>
      </c>
      <c r="H3" s="2" t="inlineStr">
        <is>
          <t>headcount growth &gt;=10% over 6 months; positioning mentions: outbound sales, multi-channel outreach, outbound, outreach</t>
        </is>
      </c>
      <c r="I3" s="2" t="inlineStr">
        <is>
          <t>Clay search export (clay_people_export.csv line 12), 2026-10-25</t>
        </is>
      </c>
      <c r="J3" s="2" t="inlineStr">
        <is>
          <t>Looks like the Blueberg team has grown 10%+ in the last 6 months, congrats.</t>
        </is>
      </c>
      <c r="K3" s="2" t="inlineStr">
        <is>
          <t>growth</t>
        </is>
      </c>
      <c r="L3" s="2" t="inlineStr"/>
      <c r="M3" s="2" t="inlineStr">
        <is>
          <t>India</t>
        </is>
      </c>
    </row>
    <row r="4">
      <c r="A4" s="2" t="inlineStr">
        <is>
          <t>Ajay Salve</t>
        </is>
      </c>
      <c r="B4" s="2" t="inlineStr">
        <is>
          <t>Founder &amp; CEO</t>
        </is>
      </c>
      <c r="C4" s="2" t="inlineStr">
        <is>
          <t>GreyABM</t>
        </is>
      </c>
      <c r="D4" s="2" t="inlineStr">
        <is>
          <t>greyabm.com</t>
        </is>
      </c>
      <c r="E4" s="2" t="inlineStr">
        <is>
          <t>https://www.linkedin.com/in/ajay-salve-47953820b/</t>
        </is>
      </c>
      <c r="F4" s="2" t="inlineStr">
        <is>
          <t>ajay@greyabm.com</t>
        </is>
      </c>
      <c r="G4" s="2" t="inlineStr">
        <is>
          <t>pattern_mx_ok</t>
        </is>
      </c>
      <c r="H4" s="2" t="inlineStr">
        <is>
          <t>headcount growth &gt;=10% over 6 months; positioning mentions: appointment setting, appointment-setting, meetings, appointment</t>
        </is>
      </c>
      <c r="I4" s="2" t="inlineStr">
        <is>
          <t>Clay search export (clay_people_export.csv line 136), 2026-10-25</t>
        </is>
      </c>
      <c r="J4" s="2" t="inlineStr">
        <is>
          <t>Noticed greyabm.com publishes DMARC at p=none right now.</t>
        </is>
      </c>
      <c r="K4" s="2" t="inlineStr">
        <is>
          <t>dmarc</t>
        </is>
      </c>
      <c r="L4" s="2" t="inlineStr"/>
      <c r="M4" s="2" t="inlineStr">
        <is>
          <t>India</t>
        </is>
      </c>
    </row>
    <row r="5">
      <c r="A5" s="2" t="inlineStr">
        <is>
          <t>Karan S.</t>
        </is>
      </c>
      <c r="B5" s="2" t="inlineStr">
        <is>
          <t>Founder</t>
        </is>
      </c>
      <c r="C5" s="2" t="inlineStr">
        <is>
          <t>GreyABM</t>
        </is>
      </c>
      <c r="D5" s="2" t="inlineStr">
        <is>
          <t>greyabm.com</t>
        </is>
      </c>
      <c r="E5" s="2" t="inlineStr">
        <is>
          <t>https://www.linkedin.com/in/karan-s-812245173/</t>
        </is>
      </c>
      <c r="F5" s="2" t="inlineStr">
        <is>
          <t>karan@greyabm.com</t>
        </is>
      </c>
      <c r="G5" s="2" t="inlineStr">
        <is>
          <t>pattern_mx_ok</t>
        </is>
      </c>
      <c r="H5" s="2" t="inlineStr">
        <is>
          <t>headcount growth &gt;=10% over 6 months; positioning mentions: appointment setting, appointment-setting, meetings, appointment</t>
        </is>
      </c>
      <c r="I5" s="2" t="inlineStr">
        <is>
          <t>Clay search export (clay_people_export.csv line 138), 2026-10-25</t>
        </is>
      </c>
      <c r="J5" s="2" t="inlineStr">
        <is>
          <t>Looks like the GreyABM team has grown 10%+ in the last 6 months, congrats.</t>
        </is>
      </c>
      <c r="K5" s="2" t="inlineStr">
        <is>
          <t>growth</t>
        </is>
      </c>
      <c r="L5" s="2" t="inlineStr"/>
      <c r="M5" s="2" t="inlineStr">
        <is>
          <t>India</t>
        </is>
      </c>
    </row>
    <row r="6">
      <c r="A6" s="2" t="inlineStr">
        <is>
          <t>Nikhil Tundurwar</t>
        </is>
      </c>
      <c r="B6" s="2" t="inlineStr">
        <is>
          <t>Co-Founder</t>
        </is>
      </c>
      <c r="C6" s="2" t="inlineStr">
        <is>
          <t>LeadRoad</t>
        </is>
      </c>
      <c r="D6" s="2" t="inlineStr">
        <is>
          <t>leadroad.io</t>
        </is>
      </c>
      <c r="E6" s="2" t="inlineStr">
        <is>
          <t>https://www.linkedin.com/in/nikhil-tundurwar/</t>
        </is>
      </c>
      <c r="F6" s="2" t="inlineStr">
        <is>
          <t>nikhil@leadroad.io</t>
        </is>
      </c>
      <c r="G6" s="2" t="inlineStr">
        <is>
          <t>pattern_mx_ok</t>
        </is>
      </c>
      <c r="H6" s="2" t="inlineStr">
        <is>
          <t>headcount growth &gt;=10% over 6 months; positioning mentions: cold email, appointments, linkedin outreach, leads</t>
        </is>
      </c>
      <c r="I6" s="2" t="inlineStr">
        <is>
          <t>Clay search export (clay_people_export.csv line 30), 2026-10-25</t>
        </is>
      </c>
      <c r="J6" s="2" t="inlineStr">
        <is>
          <t>Looks like the LeadRoad team has grown 10%+ in the last 6 months, congrats.</t>
        </is>
      </c>
      <c r="K6" s="2" t="inlineStr">
        <is>
          <t>growth</t>
        </is>
      </c>
      <c r="L6" s="2" t="inlineStr"/>
      <c r="M6" s="2" t="inlineStr">
        <is>
          <t>India</t>
        </is>
      </c>
    </row>
    <row r="7">
      <c r="A7" s="2" t="inlineStr">
        <is>
          <t>Nikita Tundurwar</t>
        </is>
      </c>
      <c r="B7" s="2" t="inlineStr">
        <is>
          <t>Co-founder and COO</t>
        </is>
      </c>
      <c r="C7" s="2" t="inlineStr">
        <is>
          <t>LeadRoad</t>
        </is>
      </c>
      <c r="D7" s="2" t="inlineStr">
        <is>
          <t>leadroad.io</t>
        </is>
      </c>
      <c r="E7" s="2" t="inlineStr">
        <is>
          <t>https://www.linkedin.com/in/nikita-tundurwar/</t>
        </is>
      </c>
      <c r="F7" s="2" t="inlineStr">
        <is>
          <t>nikita@leadroad.io</t>
        </is>
      </c>
      <c r="G7" s="2" t="inlineStr">
        <is>
          <t>pattern_mx_ok</t>
        </is>
      </c>
      <c r="H7" s="2" t="inlineStr">
        <is>
          <t>headcount growth &gt;=10% over 6 months; positioning mentions: cold email, appointments, linkedin outreach, leads</t>
        </is>
      </c>
      <c r="I7" s="2" t="inlineStr">
        <is>
          <t>Clay search export (clay_people_export.csv line 23), 2026-10-25</t>
        </is>
      </c>
      <c r="J7" s="2" t="inlineStr">
        <is>
          <t>Noticed leadroad.io publishes DMARC at p=none right now.</t>
        </is>
      </c>
      <c r="K7" s="2" t="inlineStr">
        <is>
          <t>dmarc</t>
        </is>
      </c>
      <c r="L7" s="2" t="inlineStr"/>
      <c r="M7" s="2" t="inlineStr">
        <is>
          <t>India</t>
        </is>
      </c>
    </row>
    <row r="8">
      <c r="A8" s="2" t="inlineStr">
        <is>
          <t>Tanvi Garg</t>
        </is>
      </c>
      <c r="B8" s="2" t="inlineStr">
        <is>
          <t>Founder &amp; Chief Operating Officer</t>
        </is>
      </c>
      <c r="C8" s="2" t="inlineStr">
        <is>
          <t>Leads 'N Latte</t>
        </is>
      </c>
      <c r="D8" s="2" t="inlineStr">
        <is>
          <t>leadsnlatte.com</t>
        </is>
      </c>
      <c r="E8" s="2" t="inlineStr">
        <is>
          <t>https://www.linkedin.com/in/thetanvigarg/</t>
        </is>
      </c>
      <c r="F8" s="2" t="inlineStr">
        <is>
          <t>tanvi@leadsnlatte.com</t>
        </is>
      </c>
      <c r="G8" s="2" t="inlineStr">
        <is>
          <t>pattern_mx_ok</t>
        </is>
      </c>
      <c r="H8" s="2" t="inlineStr">
        <is>
          <t>headcount growth &gt;=10% over 6 months; positioning mentions: sales-qualified appointments, appointments, leads, business development</t>
        </is>
      </c>
      <c r="I8" s="2" t="inlineStr">
        <is>
          <t>Clay search export (clay_people_export.csv line 19), 2026-10-25</t>
        </is>
      </c>
      <c r="J8" s="2" t="inlineStr">
        <is>
          <t>Looks like the Leads 'N Latte team has grown 10%+ in the last 6 months, congrats.</t>
        </is>
      </c>
      <c r="K8" s="2" t="inlineStr">
        <is>
          <t>growth</t>
        </is>
      </c>
      <c r="L8" s="2" t="inlineStr"/>
      <c r="M8" s="2" t="inlineStr">
        <is>
          <t>India</t>
        </is>
      </c>
    </row>
    <row r="9">
      <c r="A9" s="2" t="inlineStr">
        <is>
          <t>Yash Piplani</t>
        </is>
      </c>
      <c r="B9" s="2" t="inlineStr">
        <is>
          <t>Founder &amp; CEO</t>
        </is>
      </c>
      <c r="C9" s="2" t="inlineStr">
        <is>
          <t>Leads 'N Latte</t>
        </is>
      </c>
      <c r="D9" s="2" t="inlineStr">
        <is>
          <t>leadsnlatte.com</t>
        </is>
      </c>
      <c r="E9" s="2" t="inlineStr">
        <is>
          <t>https://www.linkedin.com/in/theyashpiplani/</t>
        </is>
      </c>
      <c r="F9" s="2" t="inlineStr">
        <is>
          <t>yash@leadsnlatte.com</t>
        </is>
      </c>
      <c r="G9" s="2" t="inlineStr">
        <is>
          <t>pattern_mx_ok</t>
        </is>
      </c>
      <c r="H9" s="2" t="inlineStr">
        <is>
          <t>headcount growth &gt;=10% over 6 months; positioning mentions: sales-qualified appointments, appointments, leads, business development</t>
        </is>
      </c>
      <c r="I9" s="2" t="inlineStr">
        <is>
          <t>Clay search export (clay_people_export.csv line 18), 2026-10-25</t>
        </is>
      </c>
      <c r="J9" s="2" t="inlineStr">
        <is>
          <t>Noticed leadsnlatte.com publishes DMARC at p=none right now.</t>
        </is>
      </c>
      <c r="K9" s="2" t="inlineStr">
        <is>
          <t>dmarc</t>
        </is>
      </c>
      <c r="L9" s="2" t="inlineStr"/>
      <c r="M9" s="2" t="inlineStr">
        <is>
          <t>India</t>
        </is>
      </c>
    </row>
    <row r="10">
      <c r="A10" s="2" t="inlineStr">
        <is>
          <t>Tushar Mittal</t>
        </is>
      </c>
      <c r="B10" s="2" t="inlineStr">
        <is>
          <t>Founder &amp; CEO</t>
        </is>
      </c>
      <c r="C10" s="2" t="inlineStr">
        <is>
          <t>LeadZini</t>
        </is>
      </c>
      <c r="D10" s="2" t="inlineStr">
        <is>
          <t>leadzini.com</t>
        </is>
      </c>
      <c r="E10" s="2" t="inlineStr">
        <is>
          <t>https://www.linkedin.com/in/tushar-mittal-370682362/</t>
        </is>
      </c>
      <c r="F10" s="2" t="inlineStr">
        <is>
          <t>tushar@leadzini.com</t>
        </is>
      </c>
      <c r="G10" s="2" t="inlineStr">
        <is>
          <t>pattern_mx_ok</t>
        </is>
      </c>
      <c r="H10" s="2" t="inlineStr">
        <is>
          <t>headcount growth &gt;=10% over 6 months; positioning mentions: lead gen agency, pipeline, b2b, outreach</t>
        </is>
      </c>
      <c r="I10" s="2" t="inlineStr">
        <is>
          <t>Clay search export (clay_people_export.csv line 89), 2026-10-25</t>
        </is>
      </c>
      <c r="J10" s="2" t="inlineStr">
        <is>
          <t>Noticed leadzini.com has no DMARC record published yet.</t>
        </is>
      </c>
      <c r="K10" s="2" t="inlineStr">
        <is>
          <t>dmarc</t>
        </is>
      </c>
      <c r="L10" s="2" t="inlineStr"/>
      <c r="M10" s="2" t="inlineStr">
        <is>
          <t>India</t>
        </is>
      </c>
    </row>
    <row r="11">
      <c r="A11" s="2" t="inlineStr">
        <is>
          <t>Vinay Singh</t>
        </is>
      </c>
      <c r="B11" s="2" t="inlineStr">
        <is>
          <t>Founder &amp; CEO</t>
        </is>
      </c>
      <c r="C11" s="2" t="inlineStr">
        <is>
          <t>Market Disc</t>
        </is>
      </c>
      <c r="D11" s="2" t="inlineStr">
        <is>
          <t>marketdisc.com</t>
        </is>
      </c>
      <c r="E11" s="2" t="inlineStr">
        <is>
          <t>https://www.linkedin.com/in/vinay-singh-541bb157/</t>
        </is>
      </c>
      <c r="F11" s="2" t="inlineStr">
        <is>
          <t>vinay@marketdisc.com</t>
        </is>
      </c>
      <c r="G11" s="2" t="inlineStr">
        <is>
          <t>pattern_mx_ok</t>
        </is>
      </c>
      <c r="H11" s="2" t="inlineStr">
        <is>
          <t>headcount growth &gt;=10% over 6 months; positioning mentions: pipeline, b2b</t>
        </is>
      </c>
      <c r="I11" s="2" t="inlineStr">
        <is>
          <t>Clay search export (clay_people_export.csv line 28), 2026-10-25</t>
        </is>
      </c>
      <c r="J11" s="2" t="inlineStr">
        <is>
          <t>Noticed marketdisc.com publishes DMARC at p=none right now.</t>
        </is>
      </c>
      <c r="K11" s="2" t="inlineStr">
        <is>
          <t>dmarc</t>
        </is>
      </c>
      <c r="L11" s="2" t="inlineStr"/>
      <c r="M11" s="2" t="inlineStr">
        <is>
          <t>India</t>
        </is>
      </c>
    </row>
    <row r="12">
      <c r="A12" s="2" t="inlineStr">
        <is>
          <t>Jahnvi Jhaveri</t>
        </is>
      </c>
      <c r="B12" s="2" t="inlineStr">
        <is>
          <t>Growth Manager</t>
        </is>
      </c>
      <c r="C12" s="2" t="inlineStr">
        <is>
          <t>Myntmore</t>
        </is>
      </c>
      <c r="D12" s="2" t="inlineStr">
        <is>
          <t>myntmore.com</t>
        </is>
      </c>
      <c r="E12" s="2" t="inlineStr">
        <is>
          <t>https://www.linkedin.com/in/jahnvi-jhaveri-profile/</t>
        </is>
      </c>
      <c r="F12" s="2" t="inlineStr">
        <is>
          <t>jahnvi@myntmore.com</t>
        </is>
      </c>
      <c r="G12" s="2" t="inlineStr">
        <is>
          <t>pattern_mx_ok</t>
        </is>
      </c>
      <c r="H12" s="2" t="inlineStr">
        <is>
          <t>headcount growth &gt;=10% over 6 months; positioning mentions: cold email, outbound agency, outbound, b2b</t>
        </is>
      </c>
      <c r="I12" s="2" t="inlineStr">
        <is>
          <t>Clay search export (clay_people_export.csv line 60), 2026-10-25</t>
        </is>
      </c>
      <c r="J12" s="2" t="inlineStr">
        <is>
          <t>Looks like the Myntmore team has grown 10%+ in the last 6 months, congrats.</t>
        </is>
      </c>
      <c r="K12" s="2" t="inlineStr">
        <is>
          <t>growth</t>
        </is>
      </c>
      <c r="L12" s="2" t="inlineStr"/>
      <c r="M12" s="2" t="inlineStr">
        <is>
          <t>India</t>
        </is>
      </c>
    </row>
    <row r="13">
      <c r="A13" s="2" t="inlineStr">
        <is>
          <t>Tejas Jhaveri</t>
        </is>
      </c>
      <c r="B13" s="2" t="inlineStr">
        <is>
          <t>Founder &amp; CEO</t>
        </is>
      </c>
      <c r="C13" s="2" t="inlineStr">
        <is>
          <t>Myntmore</t>
        </is>
      </c>
      <c r="D13" s="2" t="inlineStr">
        <is>
          <t>myntmore.com</t>
        </is>
      </c>
      <c r="E13" s="2" t="inlineStr">
        <is>
          <t>https://www.linkedin.com/in/tejasjhaveri/</t>
        </is>
      </c>
      <c r="F13" s="2" t="inlineStr">
        <is>
          <t>tejas@myntmore.com</t>
        </is>
      </c>
      <c r="G13" s="2" t="inlineStr">
        <is>
          <t>pattern_mx_ok</t>
        </is>
      </c>
      <c r="H13" s="2" t="inlineStr">
        <is>
          <t>headcount growth &gt;=10% over 6 months; positioning mentions: cold email, outbound agency, outbound, b2b</t>
        </is>
      </c>
      <c r="I13" s="2" t="inlineStr">
        <is>
          <t>Clay search export (clay_people_export.csv line 52), 2026-10-25</t>
        </is>
      </c>
      <c r="J13" s="2" t="inlineStr">
        <is>
          <t>Looks like the Myntmore team has grown 10%+ in the last 6 months, congrats.</t>
        </is>
      </c>
      <c r="K13" s="2" t="inlineStr">
        <is>
          <t>growth</t>
        </is>
      </c>
      <c r="L13" s="2" t="inlineStr"/>
      <c r="M13" s="2" t="inlineStr">
        <is>
          <t>India</t>
        </is>
      </c>
    </row>
    <row r="14">
      <c r="A14" s="2" t="inlineStr">
        <is>
          <t>Aditya Dubey</t>
        </is>
      </c>
      <c r="B14" s="2" t="inlineStr">
        <is>
          <t>Co-founder &amp; Growth Architect</t>
        </is>
      </c>
      <c r="C14" s="2" t="inlineStr">
        <is>
          <t>OutPro</t>
        </is>
      </c>
      <c r="D14" s="2" t="inlineStr">
        <is>
          <t>outpro.us</t>
        </is>
      </c>
      <c r="E14" s="2" t="inlineStr">
        <is>
          <t>https://www.linkedin.com/in/aditya-dubey-addie/</t>
        </is>
      </c>
      <c r="F14" s="2" t="inlineStr">
        <is>
          <t>aditya@outpro.us</t>
        </is>
      </c>
      <c r="G14" s="2" t="inlineStr">
        <is>
          <t>pattern_mx_ok</t>
        </is>
      </c>
      <c r="H14" s="2" t="inlineStr">
        <is>
          <t>headcount growth &gt;=10% over 6 months; positioning mentions: sdr-as-a-service, meetings, sdr, b2b</t>
        </is>
      </c>
      <c r="I14" s="2" t="inlineStr">
        <is>
          <t>Clay search export (clay_people_export.csv line 114), 2026-10-25</t>
        </is>
      </c>
      <c r="J14" s="2" t="inlineStr">
        <is>
          <t>Looks like the OutPro team has grown 10%+ in the last 6 months, congrats.</t>
        </is>
      </c>
      <c r="K14" s="2" t="inlineStr">
        <is>
          <t>growth</t>
        </is>
      </c>
      <c r="L14" s="2" t="inlineStr"/>
      <c r="M14" s="2" t="inlineStr">
        <is>
          <t>India</t>
        </is>
      </c>
    </row>
    <row r="15">
      <c r="A15" s="2" t="inlineStr">
        <is>
          <t>Sachin Shah</t>
        </is>
      </c>
      <c r="B15" s="2" t="inlineStr">
        <is>
          <t>Co-Founder &amp; Revenue Architect</t>
        </is>
      </c>
      <c r="C15" s="2" t="inlineStr">
        <is>
          <t>OutPro</t>
        </is>
      </c>
      <c r="D15" s="2" t="inlineStr">
        <is>
          <t>outpro.us</t>
        </is>
      </c>
      <c r="E15" s="2" t="inlineStr">
        <is>
          <t>https://www.linkedin.com/in/sachin-shah-918120173/</t>
        </is>
      </c>
      <c r="F15" s="2" t="inlineStr">
        <is>
          <t>sachin@outpro.us</t>
        </is>
      </c>
      <c r="G15" s="2" t="inlineStr">
        <is>
          <t>pattern_mx_ok</t>
        </is>
      </c>
      <c r="H15" s="2" t="inlineStr">
        <is>
          <t>headcount growth &gt;=10% over 6 months; positioning mentions: sdr-as-a-service, meetings, sdr, b2b</t>
        </is>
      </c>
      <c r="I15" s="2" t="inlineStr">
        <is>
          <t>Clay search export (clay_people_export.csv line 116), 2026-10-25</t>
        </is>
      </c>
      <c r="J15" s="2" t="inlineStr">
        <is>
          <t>Looks like the OutPro team has grown 10%+ in the last 6 months, congrats.</t>
        </is>
      </c>
      <c r="K15" s="2" t="inlineStr">
        <is>
          <t>growth</t>
        </is>
      </c>
      <c r="L15" s="2" t="inlineStr"/>
      <c r="M15" s="2" t="inlineStr">
        <is>
          <t>India</t>
        </is>
      </c>
    </row>
    <row r="16">
      <c r="A16" s="2" t="inlineStr">
        <is>
          <t>Avinash Haridas</t>
        </is>
      </c>
      <c r="B16" s="2" t="inlineStr">
        <is>
          <t>Founder</t>
        </is>
      </c>
      <c r="C16" s="2" t="inlineStr">
        <is>
          <t>Precise Leads</t>
        </is>
      </c>
      <c r="D16" s="2" t="inlineStr">
        <is>
          <t>preciseleads.in</t>
        </is>
      </c>
      <c r="E16" s="2" t="inlineStr">
        <is>
          <t>https://www.linkedin.com/in/avinashharidas/</t>
        </is>
      </c>
      <c r="F16" s="2" t="inlineStr">
        <is>
          <t>avinash@preciseleads.in</t>
        </is>
      </c>
      <c r="G16" s="2" t="inlineStr">
        <is>
          <t>pattern_mx_ok</t>
        </is>
      </c>
      <c r="H16" s="2" t="inlineStr">
        <is>
          <t>headcount growth &gt;=10% over 6 months; positioning mentions: cold email, lead generation, meetings, leads</t>
        </is>
      </c>
      <c r="I16" s="2" t="inlineStr">
        <is>
          <t>Clay search export (clay_people_export.csv line 53), 2026-10-25</t>
        </is>
      </c>
      <c r="J16" s="2" t="inlineStr">
        <is>
          <t>Looks like the Precise Leads team has grown 10%+ in the last 6 months, congrats.</t>
        </is>
      </c>
      <c r="K16" s="2" t="inlineStr">
        <is>
          <t>growth</t>
        </is>
      </c>
      <c r="L16" s="2" t="inlineStr"/>
      <c r="M16" s="2" t="inlineStr">
        <is>
          <t>India</t>
        </is>
      </c>
    </row>
    <row r="17">
      <c r="A17" s="2" t="inlineStr">
        <is>
          <t>Haffez Khan</t>
        </is>
      </c>
      <c r="B17" s="2" t="inlineStr">
        <is>
          <t>CEO &amp; Founder</t>
        </is>
      </c>
      <c r="C17" s="2" t="inlineStr">
        <is>
          <t>Royal Acquisition</t>
        </is>
      </c>
      <c r="D17" s="2" t="inlineStr">
        <is>
          <t>royalacquisition.com</t>
        </is>
      </c>
      <c r="E17" s="2" t="inlineStr">
        <is>
          <t>https://www.linkedin.com/in/haffez-khan-424727289/</t>
        </is>
      </c>
      <c r="F17" s="2" t="inlineStr">
        <is>
          <t>haffez@royalacquisition.com</t>
        </is>
      </c>
      <c r="G17" s="2" t="inlineStr">
        <is>
          <t>pattern_mx_ok</t>
        </is>
      </c>
      <c r="H17" s="2" t="inlineStr">
        <is>
          <t>headcount growth &gt;=10% over 6 months; positioning mentions: appointment setting, appointment-setting, email outreach, lead generation</t>
        </is>
      </c>
      <c r="I17" s="2" t="inlineStr">
        <is>
          <t>Clay search export (clay_people_export.csv line 5), 2026-10-25</t>
        </is>
      </c>
      <c r="J17" s="2" t="inlineStr">
        <is>
          <t>Noticed royalacquisition.com publishes DMARC at p=none right now.</t>
        </is>
      </c>
      <c r="K17" s="2" t="inlineStr">
        <is>
          <t>dmarc</t>
        </is>
      </c>
      <c r="L17" s="2" t="inlineStr"/>
      <c r="M17" s="2" t="inlineStr">
        <is>
          <t>India</t>
        </is>
      </c>
    </row>
    <row r="18">
      <c r="A18" s="2" t="inlineStr">
        <is>
          <t>Mohammed Yousuf khan</t>
        </is>
      </c>
      <c r="B18" s="2" t="inlineStr">
        <is>
          <t>Head of Business Development</t>
        </is>
      </c>
      <c r="C18" s="2" t="inlineStr">
        <is>
          <t>Royal Acquisition</t>
        </is>
      </c>
      <c r="D18" s="2" t="inlineStr">
        <is>
          <t>royalacquisition.com</t>
        </is>
      </c>
      <c r="E18" s="2" t="inlineStr">
        <is>
          <t>https://www.linkedin.com/in/mohammed-yousuf-khan-1285b4153/</t>
        </is>
      </c>
      <c r="F18" s="2" t="inlineStr">
        <is>
          <t>mohammed@royalacquisition.com</t>
        </is>
      </c>
      <c r="G18" s="2" t="inlineStr">
        <is>
          <t>pattern_mx_ok</t>
        </is>
      </c>
      <c r="H18" s="2" t="inlineStr">
        <is>
          <t>headcount growth &gt;=10% over 6 months; positioning mentions: appointment setting, appointment-setting, email outreach, lead generation</t>
        </is>
      </c>
      <c r="I18" s="2" t="inlineStr">
        <is>
          <t>Clay search export (clay_people_export.csv line 104), 2026-10-25</t>
        </is>
      </c>
      <c r="J18" s="2" t="inlineStr">
        <is>
          <t>Looks like the Royal Acquisition team has grown 10%+ in the last 6 months, congrats.</t>
        </is>
      </c>
      <c r="K18" s="2" t="inlineStr">
        <is>
          <t>growth</t>
        </is>
      </c>
      <c r="L18" s="2" t="inlineStr"/>
      <c r="M18" s="2" t="inlineStr">
        <is>
          <t>India</t>
        </is>
      </c>
    </row>
    <row r="19">
      <c r="A19" s="2" t="inlineStr">
        <is>
          <t>Jeevan Paul</t>
        </is>
      </c>
      <c r="B19" s="2" t="inlineStr">
        <is>
          <t>Head of Partnerships</t>
        </is>
      </c>
      <c r="C19" s="2" t="inlineStr">
        <is>
          <t>Sculp Synergies</t>
        </is>
      </c>
      <c r="D19" s="2" t="inlineStr">
        <is>
          <t>sculpsynergies.com</t>
        </is>
      </c>
      <c r="E19" s="2" t="inlineStr">
        <is>
          <t>https://www.linkedin.com/in/jeevaindia/</t>
        </is>
      </c>
      <c r="F19" s="2" t="inlineStr">
        <is>
          <t>jeevan@sculpsynergies.com</t>
        </is>
      </c>
      <c r="G19" s="2" t="inlineStr">
        <is>
          <t>pattern_mx_ok</t>
        </is>
      </c>
      <c r="H19" s="2" t="inlineStr">
        <is>
          <t>headcount growth &gt;=10% over 6 months; positioning mentions: email outreach, appointments, b2b, outreach</t>
        </is>
      </c>
      <c r="I19" s="2" t="inlineStr">
        <is>
          <t>Clay search export (clay_people_export.csv line 98), 2026-10-25</t>
        </is>
      </c>
      <c r="J19" s="2" t="inlineStr">
        <is>
          <t>Looks like the Sculp Synergies team has grown 10%+ in the last 6 months, congrats.</t>
        </is>
      </c>
      <c r="K19" s="2" t="inlineStr">
        <is>
          <t>growth</t>
        </is>
      </c>
      <c r="L19" s="2" t="inlineStr"/>
      <c r="M19" s="2" t="inlineStr">
        <is>
          <t>India</t>
        </is>
      </c>
    </row>
    <row r="20">
      <c r="A20" s="2" t="inlineStr">
        <is>
          <t>Nilesh Patharikar</t>
        </is>
      </c>
      <c r="B20" s="2" t="inlineStr">
        <is>
          <t>Founder &amp; CEO</t>
        </is>
      </c>
      <c r="C20" s="2" t="inlineStr">
        <is>
          <t>Suspect To Prospect</t>
        </is>
      </c>
      <c r="D20" s="2" t="inlineStr">
        <is>
          <t>suspecttoprospect.com</t>
        </is>
      </c>
      <c r="E20" s="2" t="inlineStr">
        <is>
          <t>https://www.linkedin.com/in/nileshpatharikar/</t>
        </is>
      </c>
      <c r="F20" s="2" t="inlineStr">
        <is>
          <t>nilesh@suspecttoprospect.com</t>
        </is>
      </c>
      <c r="G20" s="2" t="inlineStr">
        <is>
          <t>pattern_mx_ok</t>
        </is>
      </c>
      <c r="H20" s="2" t="inlineStr">
        <is>
          <t>headcount growth &gt;=10% over 12 months; positioning mentions: outbound, meetings, b2b</t>
        </is>
      </c>
      <c r="I20" s="2" t="inlineStr">
        <is>
          <t>Clay search export (clay_people_export.csv line 79), 2026-10-25</t>
        </is>
      </c>
      <c r="J20" s="2" t="inlineStr">
        <is>
          <t>Noticed suspecttoprospect.com has no DMARC record published yet.</t>
        </is>
      </c>
      <c r="K20" s="2" t="inlineStr">
        <is>
          <t>dmarc</t>
        </is>
      </c>
      <c r="L20" s="2" t="inlineStr"/>
      <c r="M20" s="2" t="inlineStr">
        <is>
          <t>India</t>
        </is>
      </c>
    </row>
    <row r="21">
      <c r="A21" s="2" t="inlineStr">
        <is>
          <t>Samarth Patharikar</t>
        </is>
      </c>
      <c r="B21" s="2" t="inlineStr">
        <is>
          <t>Chief Strategy Officer</t>
        </is>
      </c>
      <c r="C21" s="2" t="inlineStr">
        <is>
          <t>Suspect To Prospect</t>
        </is>
      </c>
      <c r="D21" s="2" t="inlineStr">
        <is>
          <t>suspecttoprospect.com</t>
        </is>
      </c>
      <c r="E21" s="2" t="inlineStr">
        <is>
          <t>https://www.linkedin.com/in/samarth-patharikar-a92969231/</t>
        </is>
      </c>
      <c r="F21" s="2" t="inlineStr">
        <is>
          <t>samarth@suspecttoprospect.com</t>
        </is>
      </c>
      <c r="G21" s="2" t="inlineStr">
        <is>
          <t>pattern_mx_ok</t>
        </is>
      </c>
      <c r="H21" s="2" t="inlineStr">
        <is>
          <t>headcount growth &gt;=10% over 12 months; positioning mentions: outbound, meetings, b2b</t>
        </is>
      </c>
      <c r="I21" s="2" t="inlineStr">
        <is>
          <t>Clay search export (clay_people_export.csv line 84), 2026-10-25</t>
        </is>
      </c>
      <c r="J21" s="2" t="inlineStr">
        <is>
          <t>Looks like the Suspect To Prospect team has grown 10%+ in the last 12 months, congrats.</t>
        </is>
      </c>
      <c r="K21" s="2" t="inlineStr">
        <is>
          <t>growth</t>
        </is>
      </c>
      <c r="L21" s="2" t="inlineStr"/>
      <c r="M21" s="2" t="inlineStr">
        <is>
          <t>India</t>
        </is>
      </c>
    </row>
    <row r="22">
      <c r="A22" s="2" t="inlineStr">
        <is>
          <t>Prachi Dev</t>
        </is>
      </c>
      <c r="B22" s="2" t="inlineStr">
        <is>
          <t>Co-Founder</t>
        </is>
      </c>
      <c r="C22" s="2" t="inlineStr">
        <is>
          <t>Thyleads</t>
        </is>
      </c>
      <c r="D22" s="2" t="inlineStr">
        <is>
          <t>thyleads.com</t>
        </is>
      </c>
      <c r="E22" s="2" t="inlineStr">
        <is>
          <t>https://www.linkedin.com/in/prachidev/</t>
        </is>
      </c>
      <c r="F22" s="2" t="inlineStr">
        <is>
          <t>prachi@thyleads.com</t>
        </is>
      </c>
      <c r="G22" s="2" t="inlineStr">
        <is>
          <t>pattern_mx_ok</t>
        </is>
      </c>
      <c r="H22" s="2" t="inlineStr">
        <is>
          <t>headcount growth &gt;=10% over 6 months; positioning mentions: outbound engine, outbound engines, outbound, lead generation</t>
        </is>
      </c>
      <c r="I22" s="2" t="inlineStr">
        <is>
          <t>Clay search export (clay_people_export.csv line 14), 2026-10-25</t>
        </is>
      </c>
      <c r="J22" s="2" t="inlineStr">
        <is>
          <t>Looks like the Thyleads team has grown 10%+ in the last 6 months, congrats.</t>
        </is>
      </c>
      <c r="K22" s="2" t="inlineStr">
        <is>
          <t>growth</t>
        </is>
      </c>
      <c r="L22" s="2" t="inlineStr"/>
      <c r="M22" s="2" t="inlineStr">
        <is>
          <t>India</t>
        </is>
      </c>
    </row>
    <row r="23">
      <c r="A23" s="2" t="inlineStr">
        <is>
          <t>Rahul Dev</t>
        </is>
      </c>
      <c r="B23" s="2" t="inlineStr">
        <is>
          <t>Co-Founder and CEO</t>
        </is>
      </c>
      <c r="C23" s="2" t="inlineStr">
        <is>
          <t>Thyleads</t>
        </is>
      </c>
      <c r="D23" s="2" t="inlineStr">
        <is>
          <t>thyleads.com</t>
        </is>
      </c>
      <c r="E23" s="2" t="inlineStr">
        <is>
          <t>https://www.linkedin.com/in/rahuldevchauhan/</t>
        </is>
      </c>
      <c r="F23" s="2" t="inlineStr">
        <is>
          <t>rahul@thyleads.com</t>
        </is>
      </c>
      <c r="G23" s="2" t="inlineStr">
        <is>
          <t>pattern_mx_ok</t>
        </is>
      </c>
      <c r="H23" s="2" t="inlineStr">
        <is>
          <t>headcount growth &gt;=10% over 6 months; positioning mentions: outbound engine, outbound engines, outbound, lead generation</t>
        </is>
      </c>
      <c r="I23" s="2" t="inlineStr">
        <is>
          <t>Clay search export (clay_people_export.csv line 11), 2026-10-25</t>
        </is>
      </c>
      <c r="J23" s="2" t="inlineStr">
        <is>
          <t>Noticed thyleads.com publishes DMARC at p=none right now.</t>
        </is>
      </c>
      <c r="K23" s="2" t="inlineStr">
        <is>
          <t>dmarc</t>
        </is>
      </c>
      <c r="L23" s="2" t="inlineStr"/>
      <c r="M23" s="2" t="inlineStr">
        <is>
          <t>India</t>
        </is>
      </c>
    </row>
    <row r="24">
      <c r="A24" s="2" t="inlineStr">
        <is>
          <t>Marmik Bapna</t>
        </is>
      </c>
      <c r="B24" s="2" t="inlineStr">
        <is>
          <t>Founder &amp; Principal Ideator</t>
        </is>
      </c>
      <c r="C24" s="2" t="inlineStr">
        <is>
          <t>Upturnly</t>
        </is>
      </c>
      <c r="D24" s="2" t="inlineStr">
        <is>
          <t>upturnly.com</t>
        </is>
      </c>
      <c r="E24" s="2" t="inlineStr">
        <is>
          <t>https://www.linkedin.com/in/marmik-bapna/</t>
        </is>
      </c>
      <c r="F24" s="2" t="inlineStr">
        <is>
          <t>marmik@upturnly.com</t>
        </is>
      </c>
      <c r="G24" s="2" t="inlineStr">
        <is>
          <t>pattern_mx_ok</t>
        </is>
      </c>
      <c r="H24" s="2" t="inlineStr">
        <is>
          <t>headcount growth &gt;=10% over 6 months; positioning mentions: cold email, sdr, linkedin outreach, outreach</t>
        </is>
      </c>
      <c r="I24" s="2" t="inlineStr">
        <is>
          <t>Clay search export (clay_people_export.csv line 119), 2026-10-25</t>
        </is>
      </c>
      <c r="J24" s="2" t="inlineStr">
        <is>
          <t>Looks like the Upturnly team has grown 10%+ in the last 6 months, congrats.</t>
        </is>
      </c>
      <c r="K24" s="2" t="inlineStr">
        <is>
          <t>growth</t>
        </is>
      </c>
      <c r="L24" s="2" t="inlineStr"/>
      <c r="M24" s="2" t="inlineStr">
        <is>
          <t>India</t>
        </is>
      </c>
    </row>
    <row r="25">
      <c r="A25" s="2" t="inlineStr">
        <is>
          <t>Megha Maheshwari</t>
        </is>
      </c>
      <c r="B25" s="2" t="inlineStr">
        <is>
          <t>Co-Founder</t>
        </is>
      </c>
      <c r="C25" s="2" t="inlineStr">
        <is>
          <t>Upturnly</t>
        </is>
      </c>
      <c r="D25" s="2" t="inlineStr">
        <is>
          <t>upturnly.com</t>
        </is>
      </c>
      <c r="E25" s="2" t="inlineStr">
        <is>
          <t>https://www.linkedin.com/in/cameghamaheshwari/</t>
        </is>
      </c>
      <c r="F25" s="2" t="inlineStr">
        <is>
          <t>megha@upturnly.com</t>
        </is>
      </c>
      <c r="G25" s="2" t="inlineStr">
        <is>
          <t>pattern_mx_ok</t>
        </is>
      </c>
      <c r="H25" s="2" t="inlineStr">
        <is>
          <t>headcount growth &gt;=10% over 6 months; positioning mentions: cold email, sdr, linkedin outreach, outreach</t>
        </is>
      </c>
      <c r="I25" s="2" t="inlineStr">
        <is>
          <t>Clay search export (clay_people_export.csv line 120), 2026-10-25</t>
        </is>
      </c>
      <c r="J25" s="2" t="inlineStr">
        <is>
          <t>Looks like the Upturnly team has grown 10%+ in the last 6 months, congrats.</t>
        </is>
      </c>
      <c r="K25" s="2" t="inlineStr">
        <is>
          <t>growth</t>
        </is>
      </c>
      <c r="L25" s="2" t="inlineStr"/>
      <c r="M25" s="2" t="inlineStr">
        <is>
          <t>India</t>
        </is>
      </c>
    </row>
    <row r="26">
      <c r="A26" s="2" t="inlineStr">
        <is>
          <t>Cameron Eck</t>
        </is>
      </c>
      <c r="B26" s="2" t="inlineStr">
        <is>
          <t>President</t>
        </is>
      </c>
      <c r="C26" s="2" t="inlineStr">
        <is>
          <t>Ace Business Development</t>
        </is>
      </c>
      <c r="D26" s="2" t="inlineStr">
        <is>
          <t>acebusinessdev.com</t>
        </is>
      </c>
      <c r="E26" s="2" t="inlineStr">
        <is>
          <t>https://www.linkedin.com/in/cameron-eck/</t>
        </is>
      </c>
      <c r="F26" s="2" t="inlineStr">
        <is>
          <t>cameron@acebusinessdev.com</t>
        </is>
      </c>
      <c r="G26" s="2" t="inlineStr">
        <is>
          <t>pattern_mx_ok</t>
        </is>
      </c>
      <c r="H26" s="2" t="inlineStr">
        <is>
          <t>headcount growth &gt;=10% over 6 months; positioning mentions: cold outreach, lead generation, outreach, business development</t>
        </is>
      </c>
      <c r="I26" s="2" t="inlineStr">
        <is>
          <t>Clay search export (clay_people_export.csv line 97), 2026-10-25</t>
        </is>
      </c>
      <c r="J26" s="2" t="inlineStr">
        <is>
          <t>Noticed acebusinessdev.com has no DMARC record published yet.</t>
        </is>
      </c>
      <c r="K26" s="2" t="inlineStr">
        <is>
          <t>dmarc</t>
        </is>
      </c>
      <c r="L26" s="2" t="inlineStr"/>
      <c r="M26" s="2" t="inlineStr">
        <is>
          <t>United States</t>
        </is>
      </c>
    </row>
    <row r="27">
      <c r="A27" s="2" t="inlineStr">
        <is>
          <t>Luke Voivoda</t>
        </is>
      </c>
      <c r="B27" s="2" t="inlineStr">
        <is>
          <t>Partner &amp; Head of Delivery</t>
        </is>
      </c>
      <c r="C27" s="2" t="inlineStr">
        <is>
          <t>Ace Business Development</t>
        </is>
      </c>
      <c r="D27" s="2" t="inlineStr">
        <is>
          <t>acebusinessdev.com</t>
        </is>
      </c>
      <c r="E27" s="2" t="inlineStr">
        <is>
          <t>https://www.linkedin.com/in/lukevoivoda/</t>
        </is>
      </c>
      <c r="F27" s="2" t="inlineStr">
        <is>
          <t>luke@acebusinessdev.com</t>
        </is>
      </c>
      <c r="G27" s="2" t="inlineStr">
        <is>
          <t>pattern_mx_ok</t>
        </is>
      </c>
      <c r="H27" s="2" t="inlineStr">
        <is>
          <t>headcount growth &gt;=10% over 6 months; positioning mentions: cold outreach, lead generation, outreach, business development</t>
        </is>
      </c>
      <c r="I27" s="2" t="inlineStr">
        <is>
          <t>Clay search export (clay_people_export.csv line 99), 2026-10-25</t>
        </is>
      </c>
      <c r="J27" s="2" t="inlineStr">
        <is>
          <t>Looks like the Ace Business Development team has grown 10%+ in the last 6 months, congrats.</t>
        </is>
      </c>
      <c r="K27" s="2" t="inlineStr">
        <is>
          <t>growth</t>
        </is>
      </c>
      <c r="L27" s="2" t="inlineStr"/>
      <c r="M27" s="2" t="inlineStr">
        <is>
          <t>United States</t>
        </is>
      </c>
    </row>
    <row r="28">
      <c r="A28" s="2" t="inlineStr">
        <is>
          <t>Tito Bohrt</t>
        </is>
      </c>
      <c r="B28" s="2" t="inlineStr">
        <is>
          <t>CEO</t>
        </is>
      </c>
      <c r="C28" s="2" t="inlineStr">
        <is>
          <t>AltiSales</t>
        </is>
      </c>
      <c r="D28" s="2" t="inlineStr">
        <is>
          <t>altisales.com</t>
        </is>
      </c>
      <c r="E28" s="2" t="inlineStr">
        <is>
          <t>https://www.linkedin.com/in/titobohrt/</t>
        </is>
      </c>
      <c r="F28" s="2" t="inlineStr">
        <is>
          <t>tito@altisales.com</t>
        </is>
      </c>
      <c r="G28" s="2" t="inlineStr">
        <is>
          <t>pattern_mx_ok</t>
        </is>
      </c>
      <c r="H28" s="2" t="inlineStr">
        <is>
          <t>headcount growth &gt;=10% over 6 months; positioning mentions: outbound, gtm</t>
        </is>
      </c>
      <c r="I28" s="2" t="inlineStr">
        <is>
          <t>Clay search export (clay_people_export.csv line 17), 2026-10-25</t>
        </is>
      </c>
      <c r="J28" s="2" t="inlineStr">
        <is>
          <t>Looks like the AltiSales team has grown 10%+ in the last 6 months, congrats.</t>
        </is>
      </c>
      <c r="K28" s="2" t="inlineStr">
        <is>
          <t>growth</t>
        </is>
      </c>
      <c r="L28" s="2" t="inlineStr"/>
      <c r="M28" s="2" t="inlineStr">
        <is>
          <t>United States</t>
        </is>
      </c>
    </row>
    <row r="29">
      <c r="A29" s="2" t="inlineStr">
        <is>
          <t>Savindu S.</t>
        </is>
      </c>
      <c r="B29" s="2" t="inlineStr">
        <is>
          <t>Chief Executive Officer / Founder</t>
        </is>
      </c>
      <c r="C29" s="2" t="inlineStr">
        <is>
          <t>Axentra Digital</t>
        </is>
      </c>
      <c r="D29" s="2" t="inlineStr">
        <is>
          <t>axentradigital.com</t>
        </is>
      </c>
      <c r="E29" s="2" t="inlineStr">
        <is>
          <t>https://www.linkedin.com/in/savindu-s-417249172/</t>
        </is>
      </c>
      <c r="F29" s="2" t="inlineStr">
        <is>
          <t>savindu@axentradigital.com</t>
        </is>
      </c>
      <c r="G29" s="2" t="inlineStr">
        <is>
          <t>pattern_mx_ok</t>
        </is>
      </c>
      <c r="H29" s="2" t="inlineStr">
        <is>
          <t>headcount growth &gt;=10% over 6 months; positioning mentions: deliverability, sdr programs, outbound, sdr</t>
        </is>
      </c>
      <c r="I29" s="2" t="inlineStr">
        <is>
          <t>Clay search export (clay_people_export.csv line 132), 2026-10-25</t>
        </is>
      </c>
      <c r="J29" s="2" t="inlineStr">
        <is>
          <t>Noticed Axentra Digital owns the deliverability side for clients too, not just the copy.</t>
        </is>
      </c>
      <c r="K29" s="2" t="inlineStr">
        <is>
          <t>infra</t>
        </is>
      </c>
      <c r="L29" s="2" t="inlineStr"/>
      <c r="M29" s="2" t="inlineStr">
        <is>
          <t>United States</t>
        </is>
      </c>
    </row>
    <row r="30">
      <c r="A30" s="2" t="inlineStr">
        <is>
          <t>Ava Kelly</t>
        </is>
      </c>
      <c r="B30" s="2" t="inlineStr">
        <is>
          <t>Head of Operations</t>
        </is>
      </c>
      <c r="C30" s="2" t="inlineStr">
        <is>
          <t>Axia Growth</t>
        </is>
      </c>
      <c r="D30" s="2" t="inlineStr">
        <is>
          <t>axiagrowth.com</t>
        </is>
      </c>
      <c r="E30" s="2" t="inlineStr">
        <is>
          <t>https://www.linkedin.com/in/-ava-kelly/</t>
        </is>
      </c>
      <c r="F30" s="2" t="inlineStr">
        <is>
          <t>ava@axiagrowth.com</t>
        </is>
      </c>
      <c r="G30" s="2" t="inlineStr">
        <is>
          <t>pattern_mx_ok</t>
        </is>
      </c>
      <c r="H30" s="2" t="inlineStr">
        <is>
          <t>headcount growth &gt;=10% over 6 months; positioning mentions: meetings, sdr, appointment</t>
        </is>
      </c>
      <c r="I30" s="2" t="inlineStr">
        <is>
          <t>Clay search export (clay_people_export.csv line 63), 2026-10-25</t>
        </is>
      </c>
      <c r="J30" s="2" t="inlineStr">
        <is>
          <t>Looks like the Axia Growth team has grown 10%+ in the last 6 months, congrats.</t>
        </is>
      </c>
      <c r="K30" s="2" t="inlineStr">
        <is>
          <t>growth</t>
        </is>
      </c>
      <c r="L30" s="2" t="inlineStr"/>
      <c r="M30" s="2" t="inlineStr">
        <is>
          <t>United States</t>
        </is>
      </c>
    </row>
    <row r="31">
      <c r="A31" s="2" t="inlineStr">
        <is>
          <t>Mike Lukasevicz</t>
        </is>
      </c>
      <c r="B31" s="2" t="inlineStr">
        <is>
          <t>Founder &amp; Managing Partner</t>
        </is>
      </c>
      <c r="C31" s="2" t="inlineStr">
        <is>
          <t>Axia Growth</t>
        </is>
      </c>
      <c r="D31" s="2" t="inlineStr">
        <is>
          <t>axiagrowth.com</t>
        </is>
      </c>
      <c r="E31" s="2" t="inlineStr">
        <is>
          <t>https://www.linkedin.com/in/mikeluka/</t>
        </is>
      </c>
      <c r="F31" s="2" t="inlineStr">
        <is>
          <t>mike@axiagrowth.com</t>
        </is>
      </c>
      <c r="G31" s="2" t="inlineStr">
        <is>
          <t>pattern_mx_ok</t>
        </is>
      </c>
      <c r="H31" s="2" t="inlineStr">
        <is>
          <t>headcount growth &gt;=10% over 6 months; positioning mentions: meetings, sdr, appointment</t>
        </is>
      </c>
      <c r="I31" s="2" t="inlineStr">
        <is>
          <t>Clay search export (clay_people_export.csv line 55), 2026-10-25</t>
        </is>
      </c>
      <c r="J31" s="2" t="inlineStr">
        <is>
          <t>Building Axia Growth around outbound for PE and M&amp;A deal flow is a sharp focus.</t>
        </is>
      </c>
      <c r="K31" s="2" t="inlineStr">
        <is>
          <t>niche</t>
        </is>
      </c>
      <c r="L31" s="2" t="inlineStr"/>
      <c r="M31" s="2" t="inlineStr">
        <is>
          <t>United States</t>
        </is>
      </c>
    </row>
    <row r="32">
      <c r="A32" s="2" t="inlineStr">
        <is>
          <t>Taha Anwar</t>
        </is>
      </c>
      <c r="B32" s="2" t="inlineStr">
        <is>
          <t>Founder / CEO</t>
        </is>
      </c>
      <c r="C32" s="2" t="inlineStr">
        <is>
          <t>Bleed AI</t>
        </is>
      </c>
      <c r="D32" s="2" t="inlineStr">
        <is>
          <t>bleedai.com</t>
        </is>
      </c>
      <c r="E32" s="2" t="inlineStr">
        <is>
          <t>https://www.linkedin.com/in/taha-bleedai/</t>
        </is>
      </c>
      <c r="F32" s="2" t="inlineStr">
        <is>
          <t>taha@bleedai.com</t>
        </is>
      </c>
      <c r="G32" s="2" t="inlineStr">
        <is>
          <t>pattern_mx_ok</t>
        </is>
      </c>
      <c r="H32" s="2" t="inlineStr">
        <is>
          <t>headcount growth &gt;=10% over 6 months; positioning mentions: cold email, deliverability, instantly</t>
        </is>
      </c>
      <c r="I32" s="2" t="inlineStr">
        <is>
          <t>Clay search export (clay_people_export.csv line 25), 2026-10-25</t>
        </is>
      </c>
      <c r="J32" s="2" t="inlineStr">
        <is>
          <t>Saw that Bleed AI runs client campaigns on Instantly and Apollo.</t>
        </is>
      </c>
      <c r="K32" s="2" t="inlineStr">
        <is>
          <t>stack</t>
        </is>
      </c>
      <c r="L32" s="2" t="inlineStr"/>
      <c r="M32" s="2" t="inlineStr">
        <is>
          <t>United States</t>
        </is>
      </c>
    </row>
    <row r="33">
      <c r="A33" s="2" t="inlineStr">
        <is>
          <t>Andy Boliek</t>
        </is>
      </c>
      <c r="B33" s="2" t="inlineStr">
        <is>
          <t>Founder &amp; CEO</t>
        </is>
      </c>
      <c r="C33" s="2" t="inlineStr">
        <is>
          <t>BLUME</t>
        </is>
      </c>
      <c r="D33" s="2" t="inlineStr">
        <is>
          <t>teamblume.com</t>
        </is>
      </c>
      <c r="E33" s="2" t="inlineStr">
        <is>
          <t>https://www.linkedin.com/in/andy-boliek/</t>
        </is>
      </c>
      <c r="F33" s="2" t="inlineStr">
        <is>
          <t>andy@teamblume.com</t>
        </is>
      </c>
      <c r="G33" s="2" t="inlineStr">
        <is>
          <t>pattern_mx_ok</t>
        </is>
      </c>
      <c r="H33" s="2" t="inlineStr">
        <is>
          <t>headcount growth &gt;=10% over 6 months; positioning mentions: sdr programs, outbound, pipeline, sdr</t>
        </is>
      </c>
      <c r="I33" s="2" t="inlineStr">
        <is>
          <t>Clay search export (clay_people_export.csv line 71), 2026-10-25</t>
        </is>
      </c>
      <c r="J33" s="2" t="inlineStr">
        <is>
          <t>Noticed teamblume.com publishes DMARC at p=none right now.</t>
        </is>
      </c>
      <c r="K33" s="2" t="inlineStr">
        <is>
          <t>dmarc</t>
        </is>
      </c>
      <c r="L33" s="2" t="inlineStr"/>
      <c r="M33" s="2" t="inlineStr">
        <is>
          <t>United States</t>
        </is>
      </c>
    </row>
    <row r="34">
      <c r="A34" s="2" t="inlineStr">
        <is>
          <t>Nick Konstantinidis</t>
        </is>
      </c>
      <c r="B34" s="2" t="inlineStr">
        <is>
          <t>Co-Founder</t>
        </is>
      </c>
      <c r="C34" s="2" t="inlineStr">
        <is>
          <t>Buzzlead</t>
        </is>
      </c>
      <c r="D34" s="2" t="inlineStr">
        <is>
          <t>buzzlead.io</t>
        </is>
      </c>
      <c r="E34" s="2" t="inlineStr">
        <is>
          <t>https://www.linkedin.com/in/nick-konstantinidis/</t>
        </is>
      </c>
      <c r="F34" s="2" t="inlineStr">
        <is>
          <t>nick@buzzlead.io</t>
        </is>
      </c>
      <c r="G34" s="2" t="inlineStr">
        <is>
          <t>pattern_mx_ok</t>
        </is>
      </c>
      <c r="H34" s="2" t="inlineStr">
        <is>
          <t>headcount growth &gt;=10% over 6 months; positioning mentions: cold email, lead generation</t>
        </is>
      </c>
      <c r="I34" s="2" t="inlineStr">
        <is>
          <t>Clay search export (clay_people_export.csv line 54), 2026-10-25</t>
        </is>
      </c>
      <c r="J34" s="2" t="inlineStr">
        <is>
          <t>10M+ touchpoints is a lot of inboxes quietly doing the work behind Buzzlead.</t>
        </is>
      </c>
      <c r="K34" s="2" t="inlineStr">
        <is>
          <t>stat</t>
        </is>
      </c>
      <c r="L34" s="2" t="inlineStr"/>
      <c r="M34" s="2" t="inlineStr">
        <is>
          <t>United States</t>
        </is>
      </c>
    </row>
    <row r="35">
      <c r="A35" s="2" t="inlineStr">
        <is>
          <t>Rish G.</t>
        </is>
      </c>
      <c r="B35" s="2" t="inlineStr">
        <is>
          <t>Founder</t>
        </is>
      </c>
      <c r="C35" s="2" t="inlineStr">
        <is>
          <t>Cleverviral</t>
        </is>
      </c>
      <c r="D35" s="2" t="inlineStr">
        <is>
          <t>cleverviral.co</t>
        </is>
      </c>
      <c r="E35" s="2" t="inlineStr">
        <is>
          <t>https://www.linkedin.com/in/rishgee/</t>
        </is>
      </c>
      <c r="F35" s="2" t="inlineStr">
        <is>
          <t>rish@cleverviral.co</t>
        </is>
      </c>
      <c r="G35" s="2" t="inlineStr">
        <is>
          <t>pattern_mx_ok</t>
        </is>
      </c>
      <c r="H35" s="2" t="inlineStr">
        <is>
          <t>headcount growth &gt;=10% over 6 months; positioning mentions: deliverability, gtm</t>
        </is>
      </c>
      <c r="I35" s="2" t="inlineStr">
        <is>
          <t>Clay search export (clay_people_export.csv line 56), 2026-10-25</t>
        </is>
      </c>
      <c r="J35" s="2" t="inlineStr">
        <is>
          <t>Noticed Cleverviral owns the deliverability side for clients too, not just the copy.</t>
        </is>
      </c>
      <c r="K35" s="2" t="inlineStr">
        <is>
          <t>infra</t>
        </is>
      </c>
      <c r="L35" s="2" t="inlineStr"/>
      <c r="M35" s="2" t="inlineStr">
        <is>
          <t>United States</t>
        </is>
      </c>
    </row>
    <row r="36">
      <c r="A36" s="2" t="inlineStr">
        <is>
          <t>Brad H.</t>
        </is>
      </c>
      <c r="B36" s="2" t="inlineStr">
        <is>
          <t>Director of Operations and Managing Partner</t>
        </is>
      </c>
      <c r="C36" s="2" t="inlineStr">
        <is>
          <t>Connexu.io</t>
        </is>
      </c>
      <c r="D36" s="2" t="inlineStr">
        <is>
          <t>connexu.io</t>
        </is>
      </c>
      <c r="E36" s="2" t="inlineStr">
        <is>
          <t>https://www.linkedin.com/in/brad-hinely/</t>
        </is>
      </c>
      <c r="F36" s="2" t="inlineStr">
        <is>
          <t>brad@connexu.io</t>
        </is>
      </c>
      <c r="G36" s="2" t="inlineStr">
        <is>
          <t>pattern_mx_ok</t>
        </is>
      </c>
      <c r="H36" s="2" t="inlineStr">
        <is>
          <t>headcount growth &gt;=10% over 6 months; positioning mentions: qualified meetings, managed sdrs, pipeline, meetings</t>
        </is>
      </c>
      <c r="I36" s="2" t="inlineStr">
        <is>
          <t>Clay search export (clay_people_export.csv line 39), 2026-10-25</t>
        </is>
      </c>
      <c r="J36" s="2" t="inlineStr">
        <is>
          <t>Building Connexu.io around outbound for healthcare is a sharp focus.</t>
        </is>
      </c>
      <c r="K36" s="2" t="inlineStr">
        <is>
          <t>niche</t>
        </is>
      </c>
      <c r="L36" s="2" t="inlineStr"/>
      <c r="M36" s="2" t="inlineStr">
        <is>
          <t>United States</t>
        </is>
      </c>
    </row>
    <row r="37">
      <c r="A37" s="2" t="inlineStr">
        <is>
          <t>Michael Eisen</t>
        </is>
      </c>
      <c r="B37" s="2" t="inlineStr">
        <is>
          <t>Founder &amp; CEO</t>
        </is>
      </c>
      <c r="C37" s="2" t="inlineStr">
        <is>
          <t>Connexu.io</t>
        </is>
      </c>
      <c r="D37" s="2" t="inlineStr">
        <is>
          <t>connexu.io</t>
        </is>
      </c>
      <c r="E37" s="2" t="inlineStr">
        <is>
          <t>https://www.linkedin.com/in/michael-eisen-6390113/</t>
        </is>
      </c>
      <c r="F37" s="2" t="inlineStr">
        <is>
          <t>michael@connexu.io</t>
        </is>
      </c>
      <c r="G37" s="2" t="inlineStr">
        <is>
          <t>pattern_mx_ok</t>
        </is>
      </c>
      <c r="H37" s="2" t="inlineStr">
        <is>
          <t>headcount growth &gt;=10% over 6 months; positioning mentions: qualified meetings, managed sdrs, pipeline, meetings</t>
        </is>
      </c>
      <c r="I37" s="2" t="inlineStr">
        <is>
          <t>Clay search export (clay_people_export.csv line 43), 2026-10-25</t>
        </is>
      </c>
      <c r="J37" s="2" t="inlineStr">
        <is>
          <t>Noticed connexu.io publishes DMARC at p=none right now.</t>
        </is>
      </c>
      <c r="K37" s="2" t="inlineStr">
        <is>
          <t>dmarc</t>
        </is>
      </c>
      <c r="L37" s="2" t="inlineStr"/>
      <c r="M37" s="2" t="inlineStr">
        <is>
          <t>United States</t>
        </is>
      </c>
    </row>
    <row r="38">
      <c r="A38" s="2" t="inlineStr">
        <is>
          <t>Eimear O'Connor</t>
        </is>
      </c>
      <c r="B38" s="2" t="inlineStr">
        <is>
          <t>Founder &amp; Consultant</t>
        </is>
      </c>
      <c r="C38" s="2" t="inlineStr">
        <is>
          <t>Delegate2Xcelerate</t>
        </is>
      </c>
      <c r="D38" s="2" t="inlineStr">
        <is>
          <t>delegate2xcelerate.com</t>
        </is>
      </c>
      <c r="E38" s="2" t="inlineStr">
        <is>
          <t>https://www.linkedin.com/in/eimearward/</t>
        </is>
      </c>
      <c r="F38" s="2" t="inlineStr">
        <is>
          <t>eimear@delegate2xcelerate.com</t>
        </is>
      </c>
      <c r="G38" s="2" t="inlineStr">
        <is>
          <t>pattern_mx_ok</t>
        </is>
      </c>
      <c r="H38" s="2" t="inlineStr">
        <is>
          <t>headcount growth &gt;=10% over 6 months; positioning mentions: outbound prospecting, lead generation agency, outbound, lead generation</t>
        </is>
      </c>
      <c r="I38" s="2" t="inlineStr">
        <is>
          <t>Clay search export (clay_people_export.csv line 134), 2026-10-25</t>
        </is>
      </c>
      <c r="J38" s="2" t="inlineStr">
        <is>
          <t>Noticed delegate2xcelerate.com publishes DMARC at p=none right now.</t>
        </is>
      </c>
      <c r="K38" s="2" t="inlineStr">
        <is>
          <t>dmarc</t>
        </is>
      </c>
      <c r="L38" s="2" t="inlineStr"/>
      <c r="M38" s="2" t="inlineStr">
        <is>
          <t>Ireland</t>
        </is>
      </c>
    </row>
    <row r="39">
      <c r="A39" s="2" t="inlineStr">
        <is>
          <t>Haroon Basharat</t>
        </is>
      </c>
      <c r="B39" s="2" t="inlineStr">
        <is>
          <t>Founder | B2B SaaS GTM &amp; Growth Systems Lead</t>
        </is>
      </c>
      <c r="C39" s="2" t="inlineStr">
        <is>
          <t>Fatgraphs</t>
        </is>
      </c>
      <c r="D39" s="2" t="inlineStr">
        <is>
          <t>fatgraphs.com</t>
        </is>
      </c>
      <c r="E39" s="2" t="inlineStr">
        <is>
          <t>https://www.linkedin.com/in/haroonkhaan/</t>
        </is>
      </c>
      <c r="F39" s="2" t="inlineStr">
        <is>
          <t>haroon@fatgraphs.com</t>
        </is>
      </c>
      <c r="G39" s="2" t="inlineStr">
        <is>
          <t>pattern_mx_ok</t>
        </is>
      </c>
      <c r="H39" s="2" t="inlineStr">
        <is>
          <t>headcount growth &gt;=10% over 6 months; positioning mentions: outbound systems, outbound system, outbound, pipeline</t>
        </is>
      </c>
      <c r="I39" s="2" t="inlineStr">
        <is>
          <t>Clay search export (clay_people_export.csv line 139), 2026-10-25</t>
        </is>
      </c>
      <c r="J39" s="2" t="inlineStr">
        <is>
          <t>Noticed fatgraphs.com has no DMARC record published yet.</t>
        </is>
      </c>
      <c r="K39" s="2" t="inlineStr">
        <is>
          <t>dmarc</t>
        </is>
      </c>
      <c r="L39" s="2" t="inlineStr"/>
      <c r="M39" s="2" t="inlineStr"/>
    </row>
    <row r="40">
      <c r="A40" s="2" t="inlineStr">
        <is>
          <t>Celine Sky</t>
        </is>
      </c>
      <c r="B40" s="2" t="inlineStr">
        <is>
          <t>Co-Founder &amp; COO</t>
        </is>
      </c>
      <c r="C40" s="2" t="inlineStr">
        <is>
          <t>Forma Nôrden</t>
        </is>
      </c>
      <c r="D40" s="2" t="inlineStr">
        <is>
          <t>formanorden.com</t>
        </is>
      </c>
      <c r="E40" s="2" t="inlineStr">
        <is>
          <t>https://www.linkedin.com/in/celine-sky-chiwuta/</t>
        </is>
      </c>
      <c r="F40" s="2" t="inlineStr">
        <is>
          <t>celine@formanorden.com</t>
        </is>
      </c>
      <c r="G40" s="2" t="inlineStr">
        <is>
          <t>pattern_mx_ok</t>
        </is>
      </c>
      <c r="H40" s="2" t="inlineStr">
        <is>
          <t>headcount growth &gt;=10% over 6 months; positioning mentions: outbound, lead generation</t>
        </is>
      </c>
      <c r="I40" s="2" t="inlineStr">
        <is>
          <t>Clay search export (clay_people_export.csv line 33), 2026-10-25</t>
        </is>
      </c>
      <c r="J40" s="2" t="inlineStr">
        <is>
          <t>Noticed formanorden.com publishes DMARC at p=none right now.</t>
        </is>
      </c>
      <c r="K40" s="2" t="inlineStr">
        <is>
          <t>dmarc</t>
        </is>
      </c>
      <c r="L40" s="2" t="inlineStr"/>
      <c r="M40" s="2" t="inlineStr">
        <is>
          <t>United Kingdom</t>
        </is>
      </c>
    </row>
    <row r="41">
      <c r="A41" s="2" t="inlineStr">
        <is>
          <t>Anuj Agrawal</t>
        </is>
      </c>
      <c r="B41" s="2" t="inlineStr">
        <is>
          <t>Founder</t>
        </is>
      </c>
      <c r="C41" s="2" t="inlineStr">
        <is>
          <t>Growleads.io</t>
        </is>
      </c>
      <c r="D41" s="2" t="inlineStr">
        <is>
          <t>growleads.io</t>
        </is>
      </c>
      <c r="E41" s="2" t="inlineStr">
        <is>
          <t>https://www.linkedin.com/in/connectanuj/</t>
        </is>
      </c>
      <c r="F41" s="2" t="inlineStr">
        <is>
          <t>anuj@growleads.io</t>
        </is>
      </c>
      <c r="G41" s="2" t="inlineStr">
        <is>
          <t>pattern_mx_ok</t>
        </is>
      </c>
      <c r="H41" s="2" t="inlineStr">
        <is>
          <t>headcount growth &gt;=10% over 6 months; positioning mentions: lead generation agency, qualified meetings, outbound, lead generation</t>
        </is>
      </c>
      <c r="I41" s="2" t="inlineStr">
        <is>
          <t>Clay search export (clay_people_export.csv line 21), 2026-10-25</t>
        </is>
      </c>
      <c r="J41" s="2" t="inlineStr">
        <is>
          <t>500+ qualified meetings is a lot of inboxes quietly doing the work behind Growleads.io.</t>
        </is>
      </c>
      <c r="K41" s="2" t="inlineStr">
        <is>
          <t>stat</t>
        </is>
      </c>
      <c r="L41" s="2" t="inlineStr"/>
      <c r="M41" s="2" t="inlineStr">
        <is>
          <t>United States</t>
        </is>
      </c>
    </row>
    <row r="42">
      <c r="A42" s="2" t="inlineStr">
        <is>
          <t>Malay Gupta</t>
        </is>
      </c>
      <c r="B42" s="2" t="inlineStr">
        <is>
          <t>Head of Growth Systems &amp; Operations</t>
        </is>
      </c>
      <c r="C42" s="2" t="inlineStr">
        <is>
          <t>Growleads.io</t>
        </is>
      </c>
      <c r="D42" s="2" t="inlineStr">
        <is>
          <t>growleads.io</t>
        </is>
      </c>
      <c r="E42" s="2" t="inlineStr">
        <is>
          <t>https://www.linkedin.com/in/malaygpt/</t>
        </is>
      </c>
      <c r="F42" s="2" t="inlineStr">
        <is>
          <t>malay@growleads.io</t>
        </is>
      </c>
      <c r="G42" s="2" t="inlineStr">
        <is>
          <t>pattern_mx_ok</t>
        </is>
      </c>
      <c r="H42" s="2" t="inlineStr">
        <is>
          <t>headcount growth &gt;=10% over 6 months; positioning mentions: lead generation agency, qualified meetings, outbound, lead generation</t>
        </is>
      </c>
      <c r="I42" s="2" t="inlineStr">
        <is>
          <t>Clay search export (clay_people_export.csv line 32), 2026-10-25</t>
        </is>
      </c>
      <c r="J42" s="2" t="inlineStr">
        <is>
          <t>Looks like the Growleads.io team has grown 10%+ in the last 6 months, congrats.</t>
        </is>
      </c>
      <c r="K42" s="2" t="inlineStr">
        <is>
          <t>growth</t>
        </is>
      </c>
      <c r="L42" s="2" t="inlineStr"/>
      <c r="M42" s="2" t="inlineStr">
        <is>
          <t>United States</t>
        </is>
      </c>
    </row>
    <row r="43">
      <c r="A43" s="2" t="inlineStr">
        <is>
          <t>Brad Harris</t>
        </is>
      </c>
      <c r="B43" s="2" t="inlineStr">
        <is>
          <t>Partner</t>
        </is>
      </c>
      <c r="C43" s="2" t="inlineStr">
        <is>
          <t>Growth Orbit</t>
        </is>
      </c>
      <c r="D43" s="2" t="inlineStr">
        <is>
          <t>growthorbit.com</t>
        </is>
      </c>
      <c r="E43" s="2" t="inlineStr">
        <is>
          <t>https://www.linkedin.com/in/bradfordlharris/</t>
        </is>
      </c>
      <c r="F43" s="2" t="inlineStr">
        <is>
          <t>brad@growthorbit.com</t>
        </is>
      </c>
      <c r="G43" s="2" t="inlineStr">
        <is>
          <t>pattern_mx_ok</t>
        </is>
      </c>
      <c r="H43" s="2" t="inlineStr">
        <is>
          <t>headcount growth &gt;=10% over 6 months; positioning mentions: outbound engine, outbound, b2b</t>
        </is>
      </c>
      <c r="I43" s="2" t="inlineStr">
        <is>
          <t>Clay search export (clay_people_export.csv line 46), 2026-10-25</t>
        </is>
      </c>
      <c r="J43" s="2" t="inlineStr">
        <is>
          <t>Looks like the Growth Orbit team has grown 10%+ in the last 6 months, congrats.</t>
        </is>
      </c>
      <c r="K43" s="2" t="inlineStr">
        <is>
          <t>growth</t>
        </is>
      </c>
      <c r="L43" s="2" t="inlineStr"/>
      <c r="M43" s="2" t="inlineStr">
        <is>
          <t>United States</t>
        </is>
      </c>
    </row>
    <row r="44">
      <c r="A44" s="2" t="inlineStr">
        <is>
          <t>Steve Schilling</t>
        </is>
      </c>
      <c r="B44" s="2" t="inlineStr">
        <is>
          <t>Managing Partner</t>
        </is>
      </c>
      <c r="C44" s="2" t="inlineStr">
        <is>
          <t>Growth Orbit</t>
        </is>
      </c>
      <c r="D44" s="2" t="inlineStr">
        <is>
          <t>growthorbit.com</t>
        </is>
      </c>
      <c r="E44" s="2" t="inlineStr">
        <is>
          <t>https://www.linkedin.com/in/steveschilling/</t>
        </is>
      </c>
      <c r="F44" s="2" t="inlineStr">
        <is>
          <t>steve@growthorbit.com</t>
        </is>
      </c>
      <c r="G44" s="2" t="inlineStr">
        <is>
          <t>pattern_mx_ok</t>
        </is>
      </c>
      <c r="H44" s="2" t="inlineStr">
        <is>
          <t>headcount growth &gt;=10% over 6 months; positioning mentions: outbound engine, outbound, b2b</t>
        </is>
      </c>
      <c r="I44" s="2" t="inlineStr">
        <is>
          <t>Clay search export (clay_people_export.csv line 50), 2026-10-25</t>
        </is>
      </c>
      <c r="J44" s="2" t="inlineStr">
        <is>
          <t>Noticed growthorbit.com publishes DMARC at p=none right now.</t>
        </is>
      </c>
      <c r="K44" s="2" t="inlineStr">
        <is>
          <t>dmarc</t>
        </is>
      </c>
      <c r="L44" s="2" t="inlineStr"/>
      <c r="M44" s="2" t="inlineStr">
        <is>
          <t>United States</t>
        </is>
      </c>
    </row>
    <row r="45">
      <c r="A45" s="2" t="inlineStr">
        <is>
          <t>Liam Walters</t>
        </is>
      </c>
      <c r="B45" s="2" t="inlineStr">
        <is>
          <t>Co-Founder</t>
        </is>
      </c>
      <c r="C45" s="2" t="inlineStr">
        <is>
          <t>Harper Agency</t>
        </is>
      </c>
      <c r="D45" s="2" t="inlineStr">
        <is>
          <t>harperagency.io</t>
        </is>
      </c>
      <c r="E45" s="2" t="inlineStr">
        <is>
          <t>https://www.linkedin.com/in/liam-walt/</t>
        </is>
      </c>
      <c r="F45" s="2" t="inlineStr">
        <is>
          <t>liam@harperagency.io</t>
        </is>
      </c>
      <c r="G45" s="2" t="inlineStr">
        <is>
          <t>pattern_mx_ok</t>
        </is>
      </c>
      <c r="H45" s="2" t="inlineStr">
        <is>
          <t>headcount growth &gt;=10% over 6 months; positioning mentions: cold email, linkedin outreach, outreach, business development</t>
        </is>
      </c>
      <c r="I45" s="2" t="inlineStr">
        <is>
          <t>Clay search export (clay_people_export.csv line 107), 2026-10-25</t>
        </is>
      </c>
      <c r="J45" s="2" t="inlineStr">
        <is>
          <t>Noticed harperagency.io publishes DMARC at p=none right now.</t>
        </is>
      </c>
      <c r="K45" s="2" t="inlineStr">
        <is>
          <t>dmarc</t>
        </is>
      </c>
      <c r="L45" s="2" t="inlineStr"/>
      <c r="M45" s="2" t="inlineStr">
        <is>
          <t>United Kingdom</t>
        </is>
      </c>
    </row>
    <row r="46">
      <c r="A46" s="2" t="inlineStr">
        <is>
          <t>Scott McNicol</t>
        </is>
      </c>
      <c r="B46" s="2" t="inlineStr">
        <is>
          <t>Co-Founder</t>
        </is>
      </c>
      <c r="C46" s="2" t="inlineStr">
        <is>
          <t>Harper Agency</t>
        </is>
      </c>
      <c r="D46" s="2" t="inlineStr">
        <is>
          <t>harperagency.io</t>
        </is>
      </c>
      <c r="E46" s="2" t="inlineStr">
        <is>
          <t>https://www.linkedin.com/in/scott-mcnicol/</t>
        </is>
      </c>
      <c r="F46" s="2" t="inlineStr">
        <is>
          <t>scott@harperagency.io</t>
        </is>
      </c>
      <c r="G46" s="2" t="inlineStr">
        <is>
          <t>pattern_mx_ok</t>
        </is>
      </c>
      <c r="H46" s="2" t="inlineStr">
        <is>
          <t>headcount growth &gt;=10% over 6 months; positioning mentions: cold email, linkedin outreach, outreach, business development</t>
        </is>
      </c>
      <c r="I46" s="2" t="inlineStr">
        <is>
          <t>Clay search export (clay_people_export.csv line 108), 2026-10-25</t>
        </is>
      </c>
      <c r="J46" s="2" t="inlineStr">
        <is>
          <t>Looks like the Harper Agency team has grown 10%+ in the last 6 months, congrats.</t>
        </is>
      </c>
      <c r="K46" s="2" t="inlineStr">
        <is>
          <t>growth</t>
        </is>
      </c>
      <c r="L46" s="2" t="inlineStr"/>
      <c r="M46" s="2" t="inlineStr">
        <is>
          <t>United Kingdom</t>
        </is>
      </c>
    </row>
    <row r="47">
      <c r="A47" s="2" t="inlineStr">
        <is>
          <t>Atishay Jain</t>
        </is>
      </c>
      <c r="B47" s="2" t="inlineStr">
        <is>
          <t>Founder</t>
        </is>
      </c>
      <c r="C47" s="2" t="inlineStr">
        <is>
          <t>Hyperke</t>
        </is>
      </c>
      <c r="D47" s="2" t="inlineStr">
        <is>
          <t>hyperke.com</t>
        </is>
      </c>
      <c r="E47" s="2" t="inlineStr">
        <is>
          <t>https://www.linkedin.com/in/atishay-hyperke/</t>
        </is>
      </c>
      <c r="F47" s="2" t="inlineStr">
        <is>
          <t>atishay@hyperke.com</t>
        </is>
      </c>
      <c r="G47" s="2" t="inlineStr">
        <is>
          <t>pattern_mx_ok</t>
        </is>
      </c>
      <c r="H47" s="2" t="inlineStr">
        <is>
          <t>headcount growth &gt;=10% over 6 months; positioning mentions: pipeline, appointments, b2b, gtm</t>
        </is>
      </c>
      <c r="I47" s="2" t="inlineStr">
        <is>
          <t>Clay search export (clay_people_export.csv line 24), 2026-10-25</t>
        </is>
      </c>
      <c r="J47" s="2" t="inlineStr">
        <is>
          <t>Looks like the Hyperke team has grown 10%+ in the last 6 months, congrats.</t>
        </is>
      </c>
      <c r="K47" s="2" t="inlineStr">
        <is>
          <t>growth</t>
        </is>
      </c>
      <c r="L47" s="2" t="inlineStr"/>
      <c r="M47" s="2" t="inlineStr">
        <is>
          <t>United States</t>
        </is>
      </c>
    </row>
    <row r="48">
      <c r="A48" s="2" t="inlineStr">
        <is>
          <t>Manuel Rodriguez Dao</t>
        </is>
      </c>
      <c r="B48" s="2" t="inlineStr">
        <is>
          <t>Co-Founder &amp; CTO</t>
        </is>
      </c>
      <c r="C48" s="2" t="inlineStr">
        <is>
          <t>InsideJob</t>
        </is>
      </c>
      <c r="D48" s="2" t="inlineStr">
        <is>
          <t>insidejobsales.com</t>
        </is>
      </c>
      <c r="E48" s="2" t="inlineStr">
        <is>
          <t>https://www.linkedin.com/in/manuelrdao/</t>
        </is>
      </c>
      <c r="F48" s="2" t="inlineStr">
        <is>
          <t>manuel@insidejobsales.com</t>
        </is>
      </c>
      <c r="G48" s="2" t="inlineStr">
        <is>
          <t>pattern_mx_ok</t>
        </is>
      </c>
      <c r="H48" s="2" t="inlineStr">
        <is>
          <t>headcount growth &gt;=10% over 6 months; positioning mentions: outsourced sdr, sdr</t>
        </is>
      </c>
      <c r="I48" s="2" t="inlineStr">
        <is>
          <t>Clay search export (clay_people_export.csv line 44), 2026-10-25</t>
        </is>
      </c>
      <c r="J48" s="2" t="inlineStr">
        <is>
          <t>Building InsideJob around outbound for manufacturers is a sharp focus.</t>
        </is>
      </c>
      <c r="K48" s="2" t="inlineStr">
        <is>
          <t>niche</t>
        </is>
      </c>
      <c r="L48" s="2" t="inlineStr"/>
      <c r="M48" s="2" t="inlineStr">
        <is>
          <t>United States</t>
        </is>
      </c>
    </row>
    <row r="49">
      <c r="A49" s="2" t="inlineStr">
        <is>
          <t>Tim Johnson</t>
        </is>
      </c>
      <c r="B49" s="2" t="inlineStr">
        <is>
          <t>Chief Executive Officer</t>
        </is>
      </c>
      <c r="C49" s="2" t="inlineStr">
        <is>
          <t>InsideJob</t>
        </is>
      </c>
      <c r="D49" s="2" t="inlineStr">
        <is>
          <t>insidejobsales.com</t>
        </is>
      </c>
      <c r="E49" s="2" t="inlineStr">
        <is>
          <t>https://www.linkedin.com/in/tim-johnson-350563141/</t>
        </is>
      </c>
      <c r="F49" s="2" t="inlineStr">
        <is>
          <t>tim@insidejobsales.com</t>
        </is>
      </c>
      <c r="G49" s="2" t="inlineStr">
        <is>
          <t>pattern_mx_ok</t>
        </is>
      </c>
      <c r="H49" s="2" t="inlineStr">
        <is>
          <t>headcount growth &gt;=10% over 6 months; positioning mentions: outsourced sdr, sdr</t>
        </is>
      </c>
      <c r="I49" s="2" t="inlineStr">
        <is>
          <t>Clay search export (clay_people_export.csv line 49), 2026-10-25</t>
        </is>
      </c>
      <c r="J49" s="2" t="inlineStr">
        <is>
          <t>Looks like the InsideJob team has grown 10%+ in the last 6 months, congrats.</t>
        </is>
      </c>
      <c r="K49" s="2" t="inlineStr">
        <is>
          <t>growth</t>
        </is>
      </c>
      <c r="L49" s="2" t="inlineStr"/>
      <c r="M49" s="2" t="inlineStr">
        <is>
          <t>United States</t>
        </is>
      </c>
    </row>
    <row r="50">
      <c r="A50" s="2" t="inlineStr">
        <is>
          <t>Ehab Darwish</t>
        </is>
      </c>
      <c r="B50" s="2" t="inlineStr">
        <is>
          <t>Founder, Business Development Director</t>
        </is>
      </c>
      <c r="C50" s="2" t="inlineStr">
        <is>
          <t>iSkala</t>
        </is>
      </c>
      <c r="D50" s="2" t="inlineStr">
        <is>
          <t>iskala.ai</t>
        </is>
      </c>
      <c r="E50" s="2" t="inlineStr">
        <is>
          <t>https://www.linkedin.com/in/ehab-darwish/</t>
        </is>
      </c>
      <c r="F50" s="2" t="inlineStr">
        <is>
          <t>ehab@iskala.ai</t>
        </is>
      </c>
      <c r="G50" s="2" t="inlineStr">
        <is>
          <t>pattern_mx_ok</t>
        </is>
      </c>
      <c r="H50" s="2" t="inlineStr">
        <is>
          <t>headcount growth &gt;=10% over 6 months; positioning mentions: outbound, leads</t>
        </is>
      </c>
      <c r="I50" s="2" t="inlineStr">
        <is>
          <t>Clay search export (clay_people_export.csv line 66), 2026-10-25</t>
        </is>
      </c>
      <c r="J50" s="2" t="inlineStr">
        <is>
          <t>Looks like the iSkala team has grown 10%+ in the last 6 months, congrats.</t>
        </is>
      </c>
      <c r="K50" s="2" t="inlineStr">
        <is>
          <t>growth</t>
        </is>
      </c>
      <c r="L50" s="2" t="inlineStr"/>
      <c r="M50" s="2" t="inlineStr">
        <is>
          <t>United States</t>
        </is>
      </c>
    </row>
    <row r="51">
      <c r="A51" s="2" t="inlineStr">
        <is>
          <t>David Turewicz</t>
        </is>
      </c>
      <c r="B51" s="2" t="inlineStr">
        <is>
          <t>CEO &amp; Co-Founder</t>
        </is>
      </c>
      <c r="C51" s="2" t="inlineStr">
        <is>
          <t>Kinetyca</t>
        </is>
      </c>
      <c r="D51" s="2" t="inlineStr">
        <is>
          <t>kinetyca.com</t>
        </is>
      </c>
      <c r="E51" s="2" t="inlineStr">
        <is>
          <t>https://www.linkedin.com/in/davidturewicz/</t>
        </is>
      </c>
      <c r="F51" s="2" t="inlineStr">
        <is>
          <t>david@kinetyca.com</t>
        </is>
      </c>
      <c r="G51" s="2" t="inlineStr">
        <is>
          <t>pattern_mx_ok</t>
        </is>
      </c>
      <c r="H51" s="2" t="inlineStr">
        <is>
          <t>headcount growth &gt;=10% over 6 months; positioning mentions: outbound engine, outbound engines, outbound, gtm</t>
        </is>
      </c>
      <c r="I51" s="2" t="inlineStr">
        <is>
          <t>Clay search export (clay_people_export.csv line 118), 2026-10-25</t>
        </is>
      </c>
      <c r="J51" s="2" t="inlineStr">
        <is>
          <t>Noticed kinetyca.com publishes DMARC at p=none right now.</t>
        </is>
      </c>
      <c r="K51" s="2" t="inlineStr">
        <is>
          <t>dmarc</t>
        </is>
      </c>
      <c r="L51" s="2" t="inlineStr"/>
      <c r="M51" s="2" t="inlineStr">
        <is>
          <t>United States</t>
        </is>
      </c>
    </row>
    <row r="52">
      <c r="A52" s="2" t="inlineStr">
        <is>
          <t>Matteo Fois</t>
        </is>
      </c>
      <c r="B52" s="2" t="inlineStr">
        <is>
          <t>Co-Founder</t>
        </is>
      </c>
      <c r="C52" s="2" t="inlineStr">
        <is>
          <t>Kinetyca</t>
        </is>
      </c>
      <c r="D52" s="2" t="inlineStr">
        <is>
          <t>kinetyca.com</t>
        </is>
      </c>
      <c r="E52" s="2" t="inlineStr">
        <is>
          <t>https://www.linkedin.com/in/matteo-fois/</t>
        </is>
      </c>
      <c r="F52" s="2" t="inlineStr">
        <is>
          <t>matteo@kinetyca.com</t>
        </is>
      </c>
      <c r="G52" s="2" t="inlineStr">
        <is>
          <t>pattern_mx_ok</t>
        </is>
      </c>
      <c r="H52" s="2" t="inlineStr">
        <is>
          <t>headcount growth &gt;=10% over 6 months; positioning mentions: outbound engine, outbound engines, outbound, gtm</t>
        </is>
      </c>
      <c r="I52" s="2" t="inlineStr">
        <is>
          <t>Clay search export (clay_people_export.csv line 122), 2026-10-25</t>
        </is>
      </c>
      <c r="J52" s="2" t="inlineStr">
        <is>
          <t>Looks like the Kinetyca team has grown 10%+ in the last 6 months, congrats.</t>
        </is>
      </c>
      <c r="K52" s="2" t="inlineStr">
        <is>
          <t>growth</t>
        </is>
      </c>
      <c r="L52" s="2" t="inlineStr"/>
      <c r="M52" s="2" t="inlineStr">
        <is>
          <t>United States</t>
        </is>
      </c>
    </row>
    <row r="53">
      <c r="A53" s="2" t="inlineStr">
        <is>
          <t>Daniel de Vries</t>
        </is>
      </c>
      <c r="B53" s="2" t="inlineStr">
        <is>
          <t>Founder &amp; CEO</t>
        </is>
      </c>
      <c r="C53" s="2" t="inlineStr">
        <is>
          <t>LeadHQ</t>
        </is>
      </c>
      <c r="D53" s="2" t="inlineStr">
        <is>
          <t>leadhq.io</t>
        </is>
      </c>
      <c r="E53" s="2" t="inlineStr">
        <is>
          <t>https://www.linkedin.com/in/daniel-de-vries/</t>
        </is>
      </c>
      <c r="F53" s="2" t="inlineStr">
        <is>
          <t>daniel@leadhq.io</t>
        </is>
      </c>
      <c r="G53" s="2" t="inlineStr">
        <is>
          <t>pattern_mx_ok</t>
        </is>
      </c>
      <c r="H53" s="2" t="inlineStr">
        <is>
          <t>headcount growth &gt;=10% over 6 months; positioning mentions: deliverability, outbound infrastructure, prospecting-as-a-service, prospecting as a service</t>
        </is>
      </c>
      <c r="I53" s="2" t="inlineStr">
        <is>
          <t>Clay search export (clay_people_export.csv line 36), 2026-10-25</t>
        </is>
      </c>
      <c r="J53" s="2" t="inlineStr">
        <is>
          <t>Noticed LeadHQ owns the deliverability side for clients too, not just the copy.</t>
        </is>
      </c>
      <c r="K53" s="2" t="inlineStr">
        <is>
          <t>infra</t>
        </is>
      </c>
      <c r="L53" s="2" t="inlineStr"/>
      <c r="M53" s="2" t="inlineStr">
        <is>
          <t>Netherlands</t>
        </is>
      </c>
    </row>
    <row r="54">
      <c r="A54" s="2" t="inlineStr">
        <is>
          <t>Adnan Shaikh</t>
        </is>
      </c>
      <c r="B54" s="2" t="inlineStr">
        <is>
          <t>Operations Manager</t>
        </is>
      </c>
      <c r="C54" s="2" t="inlineStr">
        <is>
          <t>LeadOptix Solutions</t>
        </is>
      </c>
      <c r="D54" s="2" t="inlineStr">
        <is>
          <t>leadoptixsolutions.com</t>
        </is>
      </c>
      <c r="E54" s="2" t="inlineStr">
        <is>
          <t>https://www.linkedin.com/in/adnan-shaikh-5044bb1b2/</t>
        </is>
      </c>
      <c r="F54" s="2" t="inlineStr">
        <is>
          <t>adnan@leadoptixsolutions.com</t>
        </is>
      </c>
      <c r="G54" s="2" t="inlineStr">
        <is>
          <t>pattern_mx_ok</t>
        </is>
      </c>
      <c r="H54" s="2" t="inlineStr">
        <is>
          <t>headcount growth &gt;=10% over 6 months; positioning mentions: cold email, lead gen agency, deliverability, b2b</t>
        </is>
      </c>
      <c r="I54" s="2" t="inlineStr">
        <is>
          <t>Clay search export (clay_people_export.csv line 93), 2026-10-25</t>
        </is>
      </c>
      <c r="J54" s="2" t="inlineStr">
        <is>
          <t>Noticed LeadOptix Solutions owns the deliverability side for clients too, not just the copy.</t>
        </is>
      </c>
      <c r="K54" s="2" t="inlineStr">
        <is>
          <t>infra</t>
        </is>
      </c>
      <c r="L54" s="2" t="inlineStr"/>
      <c r="M54" s="2" t="inlineStr">
        <is>
          <t>United Kingdom</t>
        </is>
      </c>
    </row>
    <row r="55">
      <c r="A55" s="2" t="inlineStr">
        <is>
          <t>Viraj Fernando</t>
        </is>
      </c>
      <c r="B55" s="2" t="inlineStr">
        <is>
          <t>Chief Growth Officer</t>
        </is>
      </c>
      <c r="C55" s="2" t="inlineStr">
        <is>
          <t>Lvra</t>
        </is>
      </c>
      <c r="D55" s="2" t="inlineStr">
        <is>
          <t>lvraglobal.com</t>
        </is>
      </c>
      <c r="E55" s="2" t="inlineStr">
        <is>
          <t>https://www.linkedin.com/in/virajfernandoo/</t>
        </is>
      </c>
      <c r="F55" s="2" t="inlineStr">
        <is>
          <t>viraj@lvraglobal.com</t>
        </is>
      </c>
      <c r="G55" s="2" t="inlineStr">
        <is>
          <t>pattern_mx_ok</t>
        </is>
      </c>
      <c r="H55" s="2" t="inlineStr">
        <is>
          <t>headcount growth &gt;=10% over 6 months; positioning mentions: appointment setting, appointment-setting, lead generation, linkedin outreach</t>
        </is>
      </c>
      <c r="I55" s="2" t="inlineStr">
        <is>
          <t>Clay search export (clay_people_export.csv line 16), 2026-10-25</t>
        </is>
      </c>
      <c r="J55" s="2" t="inlineStr">
        <is>
          <t>Noticed lvraglobal.com publishes DMARC at p=none right now.</t>
        </is>
      </c>
      <c r="K55" s="2" t="inlineStr">
        <is>
          <t>dmarc</t>
        </is>
      </c>
      <c r="L55" s="2" t="inlineStr"/>
      <c r="M55" s="2" t="inlineStr">
        <is>
          <t>Sri Lanka</t>
        </is>
      </c>
    </row>
    <row r="56">
      <c r="A56" s="2" t="inlineStr">
        <is>
          <t>Christian Curcillo</t>
        </is>
      </c>
      <c r="B56" s="2" t="inlineStr">
        <is>
          <t>Founder</t>
        </is>
      </c>
      <c r="C56" s="2" t="inlineStr">
        <is>
          <t>Lynn Lead Gen</t>
        </is>
      </c>
      <c r="D56" s="2" t="inlineStr">
        <is>
          <t>lynnleadgen.com</t>
        </is>
      </c>
      <c r="E56" s="2" t="inlineStr">
        <is>
          <t>https://www.linkedin.com/in/christian-curcillo/</t>
        </is>
      </c>
      <c r="F56" s="2" t="inlineStr">
        <is>
          <t>christian@lynnleadgen.com</t>
        </is>
      </c>
      <c r="G56" s="2" t="inlineStr">
        <is>
          <t>pattern_mx_ok</t>
        </is>
      </c>
      <c r="H56" s="2" t="inlineStr">
        <is>
          <t>headcount growth &gt;=10% over 6 months; positioning mentions: cold email, b2b</t>
        </is>
      </c>
      <c r="I56" s="2" t="inlineStr">
        <is>
          <t>Clay search export (clay_people_export.csv line 58), 2026-10-25</t>
        </is>
      </c>
      <c r="J56" s="2" t="inlineStr">
        <is>
          <t>Building Lynn Lead Gen around outbound for supply chain and logistics software is a sharp focus.</t>
        </is>
      </c>
      <c r="K56" s="2" t="inlineStr">
        <is>
          <t>niche</t>
        </is>
      </c>
      <c r="L56" s="2" t="inlineStr"/>
      <c r="M56" s="2" t="inlineStr">
        <is>
          <t>United Kingdom</t>
        </is>
      </c>
    </row>
    <row r="57">
      <c r="A57" s="2" t="inlineStr">
        <is>
          <t>Matas Cibirka</t>
        </is>
      </c>
      <c r="B57" s="2" t="inlineStr">
        <is>
          <t>Founder</t>
        </is>
      </c>
      <c r="C57" s="2" t="inlineStr">
        <is>
          <t>Lynn Lead Gen</t>
        </is>
      </c>
      <c r="D57" s="2" t="inlineStr">
        <is>
          <t>lynnleadgen.com</t>
        </is>
      </c>
      <c r="E57" s="2" t="inlineStr">
        <is>
          <t>https://www.linkedin.com/in/matas-cibirka/</t>
        </is>
      </c>
      <c r="F57" s="2" t="inlineStr">
        <is>
          <t>matas@lynnleadgen.com</t>
        </is>
      </c>
      <c r="G57" s="2" t="inlineStr">
        <is>
          <t>pattern_mx_ok</t>
        </is>
      </c>
      <c r="H57" s="2" t="inlineStr">
        <is>
          <t>headcount growth &gt;=10% over 6 months; positioning mentions: cold email, b2b</t>
        </is>
      </c>
      <c r="I57" s="2" t="inlineStr">
        <is>
          <t>Clay search export (clay_people_export.csv line 59), 2026-10-25</t>
        </is>
      </c>
      <c r="J57" s="2" t="inlineStr">
        <is>
          <t>Running campaigns in 6 languages is a lot of sending setup to keep clean.</t>
        </is>
      </c>
      <c r="K57" s="2" t="inlineStr">
        <is>
          <t>languages</t>
        </is>
      </c>
      <c r="L57" s="2" t="inlineStr"/>
      <c r="M57" s="2" t="inlineStr">
        <is>
          <t>United Kingdom</t>
        </is>
      </c>
    </row>
    <row r="58">
      <c r="A58" s="2" t="inlineStr">
        <is>
          <t>Srikar Vee</t>
        </is>
      </c>
      <c r="B58" s="2" t="inlineStr">
        <is>
          <t>Founder &amp; CEO</t>
        </is>
      </c>
      <c r="C58" s="2" t="inlineStr">
        <is>
          <t>Marketing With HMA</t>
        </is>
      </c>
      <c r="D58" s="2" t="inlineStr">
        <is>
          <t>marketingwithhma.com</t>
        </is>
      </c>
      <c r="E58" s="2" t="inlineStr">
        <is>
          <t>https://www.linkedin.com/in/srikarvee/</t>
        </is>
      </c>
      <c r="F58" s="2" t="inlineStr">
        <is>
          <t>srikar@marketingwithhma.com</t>
        </is>
      </c>
      <c r="G58" s="2" t="inlineStr">
        <is>
          <t>pattern_mx_ok</t>
        </is>
      </c>
      <c r="H58" s="2" t="inlineStr">
        <is>
          <t>headcount growth &gt;=10% over 6 months; positioning mentions: cold email, outbound systems, outbound system, outbound</t>
        </is>
      </c>
      <c r="I58" s="2" t="inlineStr">
        <is>
          <t>Clay search export (clay_people_export.csv line 48), 2026-10-25</t>
        </is>
      </c>
      <c r="J58" s="2" t="inlineStr">
        <is>
          <t>Looks like the Marketing With HMA team has grown 10%+ in the last 6 months, congrats.</t>
        </is>
      </c>
      <c r="K58" s="2" t="inlineStr">
        <is>
          <t>growth</t>
        </is>
      </c>
      <c r="L58" s="2" t="inlineStr"/>
      <c r="M58" s="2" t="inlineStr">
        <is>
          <t>United Arab Emirates</t>
        </is>
      </c>
    </row>
    <row r="59">
      <c r="A59" s="2" t="inlineStr">
        <is>
          <t>Petteri Pietola</t>
        </is>
      </c>
      <c r="B59" s="2" t="inlineStr">
        <is>
          <t>CEO &amp; Co Founder</t>
        </is>
      </c>
      <c r="C59" s="2" t="inlineStr">
        <is>
          <t>Meetit</t>
        </is>
      </c>
      <c r="D59" s="2" t="inlineStr">
        <is>
          <t>meetit.fi</t>
        </is>
      </c>
      <c r="E59" s="2" t="inlineStr">
        <is>
          <t>https://www.linkedin.com/in/petteri-pietola-b13411a7/</t>
        </is>
      </c>
      <c r="F59" s="2" t="inlineStr">
        <is>
          <t>petteri@meetit.fi</t>
        </is>
      </c>
      <c r="G59" s="2" t="inlineStr">
        <is>
          <t>pattern_mx_ok</t>
        </is>
      </c>
      <c r="H59" s="2" t="inlineStr">
        <is>
          <t>headcount growth &gt;=10% over 6 months; positioning mentions: cold outreach, meetings, outreach</t>
        </is>
      </c>
      <c r="I59" s="2" t="inlineStr">
        <is>
          <t>Clay search export (clay_people_export.csv line 127), 2026-10-25</t>
        </is>
      </c>
      <c r="J59" s="2" t="inlineStr">
        <is>
          <t>Noticed meetit.fi publishes DMARC at p=none right now.</t>
        </is>
      </c>
      <c r="K59" s="2" t="inlineStr">
        <is>
          <t>dmarc</t>
        </is>
      </c>
      <c r="L59" s="2" t="inlineStr"/>
      <c r="M59" s="2" t="inlineStr">
        <is>
          <t>Finland</t>
        </is>
      </c>
    </row>
    <row r="60">
      <c r="A60" s="2" t="inlineStr">
        <is>
          <t>Kevin DeFranco</t>
        </is>
      </c>
      <c r="B60" s="2" t="inlineStr">
        <is>
          <t>Founder &amp; CEO</t>
        </is>
      </c>
      <c r="C60" s="2" t="inlineStr">
        <is>
          <t>OneThirtyFive</t>
        </is>
      </c>
      <c r="D60" s="2" t="inlineStr">
        <is>
          <t>onethirtyfive.com</t>
        </is>
      </c>
      <c r="E60" s="2" t="inlineStr">
        <is>
          <t>https://www.linkedin.com/in/kevindefranco/</t>
        </is>
      </c>
      <c r="F60" s="2" t="inlineStr">
        <is>
          <t>kevin@onethirtyfive.com</t>
        </is>
      </c>
      <c r="G60" s="2" t="inlineStr">
        <is>
          <t>pattern_mx_ok</t>
        </is>
      </c>
      <c r="H60" s="2" t="inlineStr">
        <is>
          <t>headcount growth &gt;=10% over 6 months; positioning mentions: outbound, pipeline, outreach</t>
        </is>
      </c>
      <c r="I60" s="2" t="inlineStr">
        <is>
          <t>Clay search export (clay_people_export.csv line 37), 2026-10-25</t>
        </is>
      </c>
      <c r="J60" s="2" t="inlineStr">
        <is>
          <t>Noticed onethirtyfive.com publishes DMARC at p=none right now.</t>
        </is>
      </c>
      <c r="K60" s="2" t="inlineStr">
        <is>
          <t>dmarc</t>
        </is>
      </c>
      <c r="L60" s="2" t="inlineStr"/>
      <c r="M60" s="2" t="inlineStr">
        <is>
          <t>United States</t>
        </is>
      </c>
    </row>
    <row r="61">
      <c r="A61" s="2" t="inlineStr">
        <is>
          <t>Martyna Czaplicka</t>
        </is>
      </c>
      <c r="B61" s="2" t="inlineStr">
        <is>
          <t>Co-Founder</t>
        </is>
      </c>
      <c r="C61" s="2" t="inlineStr">
        <is>
          <t>Open Rate</t>
        </is>
      </c>
      <c r="D61" s="2" t="inlineStr">
        <is>
          <t>openrate.eu</t>
        </is>
      </c>
      <c r="E61" s="2" t="inlineStr">
        <is>
          <t>https://www.linkedin.com/in/martyna-czaplicka-134b9a1a2/</t>
        </is>
      </c>
      <c r="F61" s="2" t="inlineStr">
        <is>
          <t>martyna@openrate.eu</t>
        </is>
      </c>
      <c r="G61" s="2" t="inlineStr">
        <is>
          <t>pattern_mx_ok</t>
        </is>
      </c>
      <c r="H61" s="2" t="inlineStr">
        <is>
          <t>headcount growth &gt;=10% over 6 months; positioning mentions: cold outreach, outreach</t>
        </is>
      </c>
      <c r="I61" s="2" t="inlineStr">
        <is>
          <t>Clay search export (clay_people_export.csv line 61), 2026-10-25</t>
        </is>
      </c>
      <c r="J61" s="2" t="inlineStr">
        <is>
          <t>Noticed Open Rate owns the deliverability side for clients too, not just the copy.</t>
        </is>
      </c>
      <c r="K61" s="2" t="inlineStr">
        <is>
          <t>infra</t>
        </is>
      </c>
      <c r="L61" s="2" t="inlineStr"/>
      <c r="M61" s="2" t="inlineStr">
        <is>
          <t>Poland</t>
        </is>
      </c>
    </row>
    <row r="62">
      <c r="A62" s="2" t="inlineStr">
        <is>
          <t>Eric Yohay</t>
        </is>
      </c>
      <c r="B62" s="2" t="inlineStr">
        <is>
          <t>Co-Founder</t>
        </is>
      </c>
      <c r="C62" s="2" t="inlineStr">
        <is>
          <t>Outbound Consulting</t>
        </is>
      </c>
      <c r="D62" s="2" t="inlineStr">
        <is>
          <t>getoutboundconsulting.com</t>
        </is>
      </c>
      <c r="E62" s="2" t="inlineStr">
        <is>
          <t>https://www.linkedin.com/in/a390526/</t>
        </is>
      </c>
      <c r="F62" s="2" t="inlineStr">
        <is>
          <t>eric@getoutboundconsulting.com</t>
        </is>
      </c>
      <c r="G62" s="2" t="inlineStr">
        <is>
          <t>pattern_mx_ok</t>
        </is>
      </c>
      <c r="H62" s="2" t="inlineStr">
        <is>
          <t>headcount growth &gt;=10% over 6 months; positioning mentions: outbound, linkedin outreach, b2b, outreach</t>
        </is>
      </c>
      <c r="I62" s="2" t="inlineStr">
        <is>
          <t>Clay search export (clay_people_export.csv line 74), 2026-10-25</t>
        </is>
      </c>
      <c r="J62" s="2" t="inlineStr">
        <is>
          <t>Looks like the Outbound Consulting team has grown 10%+ in the last 6 months, congrats.</t>
        </is>
      </c>
      <c r="K62" s="2" t="inlineStr">
        <is>
          <t>growth</t>
        </is>
      </c>
      <c r="L62" s="2" t="inlineStr"/>
      <c r="M62" s="2" t="inlineStr">
        <is>
          <t>United States</t>
        </is>
      </c>
    </row>
    <row r="63">
      <c r="A63" s="2" t="inlineStr">
        <is>
          <t>Bruce Merrill</t>
        </is>
      </c>
      <c r="B63" s="2" t="inlineStr">
        <is>
          <t>Co-Founder</t>
        </is>
      </c>
      <c r="C63" s="2" t="inlineStr">
        <is>
          <t>Outbound System</t>
        </is>
      </c>
      <c r="D63" s="2" t="inlineStr">
        <is>
          <t>outboundsystem.com</t>
        </is>
      </c>
      <c r="E63" s="2" t="inlineStr">
        <is>
          <t>https://www.linkedin.com/in/brucemerrill/</t>
        </is>
      </c>
      <c r="F63" s="2" t="inlineStr">
        <is>
          <t>bruce@outboundsystem.com</t>
        </is>
      </c>
      <c r="G63" s="2" t="inlineStr">
        <is>
          <t>pattern_mx_ok</t>
        </is>
      </c>
      <c r="H63" s="2" t="inlineStr">
        <is>
          <t>headcount growth &gt;=10% over 12 months; positioning mentions: cold email, outbound system, outbound</t>
        </is>
      </c>
      <c r="I63" s="2" t="inlineStr">
        <is>
          <t>Clay search export (clay_people_export.csv line 80), 2026-10-25</t>
        </is>
      </c>
      <c r="J63" s="2" t="inlineStr">
        <is>
          <t>Noticed Outbound System owns the deliverability side for clients too, not just the copy.</t>
        </is>
      </c>
      <c r="K63" s="2" t="inlineStr">
        <is>
          <t>infra</t>
        </is>
      </c>
      <c r="L63" s="2" t="inlineStr"/>
      <c r="M63" s="2" t="inlineStr">
        <is>
          <t>United States</t>
        </is>
      </c>
    </row>
    <row r="64">
      <c r="A64" s="2" t="inlineStr">
        <is>
          <t>Matthew Johnson</t>
        </is>
      </c>
      <c r="B64" s="2" t="inlineStr">
        <is>
          <t>Co-Founder</t>
        </is>
      </c>
      <c r="C64" s="2" t="inlineStr">
        <is>
          <t>Outbound System</t>
        </is>
      </c>
      <c r="D64" s="2" t="inlineStr">
        <is>
          <t>outboundsystem.com</t>
        </is>
      </c>
      <c r="E64" s="2" t="inlineStr">
        <is>
          <t>https://www.linkedin.com/in/matthewjohns0n/</t>
        </is>
      </c>
      <c r="F64" s="2" t="inlineStr">
        <is>
          <t>matthew@outboundsystem.com</t>
        </is>
      </c>
      <c r="G64" s="2" t="inlineStr">
        <is>
          <t>pattern_mx_ok</t>
        </is>
      </c>
      <c r="H64" s="2" t="inlineStr">
        <is>
          <t>headcount growth &gt;=10% over 12 months; positioning mentions: cold email, outbound system, outbound</t>
        </is>
      </c>
      <c r="I64" s="2" t="inlineStr">
        <is>
          <t>Clay search export (clay_people_export.csv line 85), 2026-10-25</t>
        </is>
      </c>
      <c r="J64" s="2" t="inlineStr">
        <is>
          <t>23,000+ campaigns launched is a lot of inboxes quietly doing the work behind Outbound System.</t>
        </is>
      </c>
      <c r="K64" s="2" t="inlineStr">
        <is>
          <t>stat</t>
        </is>
      </c>
      <c r="L64" s="2" t="inlineStr"/>
      <c r="M64" s="2" t="inlineStr">
        <is>
          <t>United States</t>
        </is>
      </c>
    </row>
    <row r="65">
      <c r="A65" s="2" t="inlineStr">
        <is>
          <t>Paolo Lipari</t>
        </is>
      </c>
      <c r="B65" s="2" t="inlineStr">
        <is>
          <t>CEO &amp; Founder</t>
        </is>
      </c>
      <c r="C65" s="2" t="inlineStr">
        <is>
          <t>OutboundHub</t>
        </is>
      </c>
      <c r="D65" s="2" t="inlineStr">
        <is>
          <t>outbound-hub.com</t>
        </is>
      </c>
      <c r="E65" s="2" t="inlineStr">
        <is>
          <t>https://www.linkedin.com/in/paololipari2000/</t>
        </is>
      </c>
      <c r="F65" s="2" t="inlineStr">
        <is>
          <t>paolo@outbound-hub.com</t>
        </is>
      </c>
      <c r="G65" s="2" t="inlineStr">
        <is>
          <t>pattern_mx_ok</t>
        </is>
      </c>
      <c r="H65" s="2" t="inlineStr">
        <is>
          <t>headcount growth &gt;=10% over 6 months; positioning mentions: pipeline, b2b, outreach, business development</t>
        </is>
      </c>
      <c r="I65" s="2" t="inlineStr">
        <is>
          <t>Clay search export (clay_people_export.csv line 133), 2026-10-25</t>
        </is>
      </c>
      <c r="J65" s="2" t="inlineStr">
        <is>
          <t>Noticed outbound-hub.com publishes DMARC at p=none right now.</t>
        </is>
      </c>
      <c r="K65" s="2" t="inlineStr">
        <is>
          <t>dmarc</t>
        </is>
      </c>
      <c r="L65" s="2" t="inlineStr"/>
      <c r="M65" s="2" t="inlineStr">
        <is>
          <t>Italy</t>
        </is>
      </c>
    </row>
    <row r="66">
      <c r="A66" s="2" t="inlineStr">
        <is>
          <t>Karim Youssef</t>
        </is>
      </c>
      <c r="B66" s="2" t="inlineStr">
        <is>
          <t>CEO &amp; Chief Guru</t>
        </is>
      </c>
      <c r="C66" s="2" t="inlineStr">
        <is>
          <t>Pipeline Gurus</t>
        </is>
      </c>
      <c r="D66" s="2" t="inlineStr">
        <is>
          <t>pipelinegurus.com</t>
        </is>
      </c>
      <c r="E66" s="2" t="inlineStr">
        <is>
          <t>https://www.linkedin.com/in/karimyoussefmba/</t>
        </is>
      </c>
      <c r="F66" s="2" t="inlineStr">
        <is>
          <t>karim@pipelinegurus.com</t>
        </is>
      </c>
      <c r="G66" s="2" t="inlineStr">
        <is>
          <t>pattern_mx_ok</t>
        </is>
      </c>
      <c r="H66" s="2" t="inlineStr">
        <is>
          <t>headcount growth &gt;=10% over 6 months; positioning mentions: pipeline, meetings, outreach</t>
        </is>
      </c>
      <c r="I66" s="2" t="inlineStr">
        <is>
          <t>Clay search export (clay_people_export.csv line 8), 2026-10-25</t>
        </is>
      </c>
      <c r="J66" s="2" t="inlineStr">
        <is>
          <t>Building Pipeline Gurus around outbound for the GCC market is a sharp focus.</t>
        </is>
      </c>
      <c r="K66" s="2" t="inlineStr">
        <is>
          <t>niche</t>
        </is>
      </c>
      <c r="L66" s="2" t="inlineStr"/>
      <c r="M66" s="2" t="inlineStr">
        <is>
          <t>United Arab Emirates</t>
        </is>
      </c>
    </row>
    <row r="67">
      <c r="A67" s="2" t="inlineStr">
        <is>
          <t>Sunil Arya</t>
        </is>
      </c>
      <c r="B67" s="2" t="inlineStr">
        <is>
          <t>Founder</t>
        </is>
      </c>
      <c r="C67" s="2" t="inlineStr">
        <is>
          <t>Pixelo Digital</t>
        </is>
      </c>
      <c r="D67" s="2" t="inlineStr">
        <is>
          <t>pixelodigital.com</t>
        </is>
      </c>
      <c r="E67" s="2" t="inlineStr">
        <is>
          <t>https://www.linkedin.com/in/aryasunil/</t>
        </is>
      </c>
      <c r="F67" s="2" t="inlineStr">
        <is>
          <t>sunil@pixelodigital.com</t>
        </is>
      </c>
      <c r="G67" s="2" t="inlineStr">
        <is>
          <t>pattern_mx_ok</t>
        </is>
      </c>
      <c r="H67" s="2" t="inlineStr">
        <is>
          <t>headcount growth &gt;=10% over 6 months; positioning mentions: outbound sales, outbound, b2b, gtm</t>
        </is>
      </c>
      <c r="I67" s="2" t="inlineStr">
        <is>
          <t>Clay search export (clay_people_export.csv line 4), 2026-10-25</t>
        </is>
      </c>
      <c r="J67" s="2" t="inlineStr">
        <is>
          <t>Noticed pixelodigital.com publishes DMARC at p=none right now.</t>
        </is>
      </c>
      <c r="K67" s="2" t="inlineStr">
        <is>
          <t>dmarc</t>
        </is>
      </c>
      <c r="L67" s="2" t="inlineStr"/>
      <c r="M67" s="2" t="inlineStr">
        <is>
          <t>United States</t>
        </is>
      </c>
    </row>
    <row r="68">
      <c r="A68" s="2" t="inlineStr">
        <is>
          <t>Maria Shaw</t>
        </is>
      </c>
      <c r="B68" s="2" t="inlineStr">
        <is>
          <t>Co-Founder &amp; MD</t>
        </is>
      </c>
      <c r="C68" s="2" t="inlineStr">
        <is>
          <t>Pursuitz</t>
        </is>
      </c>
      <c r="D68" s="2" t="inlineStr">
        <is>
          <t>pursuitz.io</t>
        </is>
      </c>
      <c r="E68" s="2" t="inlineStr">
        <is>
          <t>https://www.linkedin.com/in/marias-haw/</t>
        </is>
      </c>
      <c r="F68" s="2" t="inlineStr">
        <is>
          <t>maria@pursuitz.io</t>
        </is>
      </c>
      <c r="G68" s="2" t="inlineStr">
        <is>
          <t>pattern_mx_ok</t>
        </is>
      </c>
      <c r="H68" s="2" t="inlineStr">
        <is>
          <t>headcount growth &gt;=10% over 6 months; positioning mentions: outbound systems, outbound system, outbound, meetings</t>
        </is>
      </c>
      <c r="I68" s="2" t="inlineStr">
        <is>
          <t>Clay search export (clay_people_export.csv line 41), 2026-10-25</t>
        </is>
      </c>
      <c r="J68" s="2" t="inlineStr">
        <is>
          <t>Noticed pursuitz.io publishes DMARC at p=none right now.</t>
        </is>
      </c>
      <c r="K68" s="2" t="inlineStr">
        <is>
          <t>dmarc</t>
        </is>
      </c>
      <c r="L68" s="2" t="inlineStr"/>
      <c r="M68" s="2" t="inlineStr">
        <is>
          <t>United States</t>
        </is>
      </c>
    </row>
    <row r="69">
      <c r="A69" s="2" t="inlineStr">
        <is>
          <t>Gabriel Martínez</t>
        </is>
      </c>
      <c r="B69" s="2" t="inlineStr">
        <is>
          <t>Founder</t>
        </is>
      </c>
      <c r="C69" s="2" t="inlineStr">
        <is>
          <t>Reachflow</t>
        </is>
      </c>
      <c r="D69" s="2" t="inlineStr">
        <is>
          <t>reachflowz.com</t>
        </is>
      </c>
      <c r="E69" s="2" t="inlineStr">
        <is>
          <t>https://www.linkedin.com/in/gabrielmrtnz/</t>
        </is>
      </c>
      <c r="F69" s="2" t="inlineStr">
        <is>
          <t>gabriel@reachflowz.com</t>
        </is>
      </c>
      <c r="G69" s="2" t="inlineStr">
        <is>
          <t>pattern_mx_ok</t>
        </is>
      </c>
      <c r="H69" s="2" t="inlineStr">
        <is>
          <t>headcount growth &gt;=10% over 6 months; positioning mentions: outbound system, outbound, b2b</t>
        </is>
      </c>
      <c r="I69" s="2" t="inlineStr">
        <is>
          <t>Clay search export (clay_people_export.csv line 9), 2026-10-25</t>
        </is>
      </c>
      <c r="J69" s="2" t="inlineStr">
        <is>
          <t>Looks like the Reachflow team has grown 10%+ in the last 6 months, congrats.</t>
        </is>
      </c>
      <c r="K69" s="2" t="inlineStr">
        <is>
          <t>growth</t>
        </is>
      </c>
      <c r="L69" s="2" t="inlineStr"/>
      <c r="M69" s="2" t="inlineStr">
        <is>
          <t>Spain</t>
        </is>
      </c>
    </row>
    <row r="70">
      <c r="A70" s="2" t="inlineStr">
        <is>
          <t>Naphat Pornsiripanich</t>
        </is>
      </c>
      <c r="B70" s="2" t="inlineStr">
        <is>
          <t>Marketing Operations Manager</t>
        </is>
      </c>
      <c r="C70" s="2" t="inlineStr">
        <is>
          <t>Reachly</t>
        </is>
      </c>
      <c r="D70" s="2" t="inlineStr">
        <is>
          <t>reachly.co</t>
        </is>
      </c>
      <c r="E70" s="2" t="inlineStr">
        <is>
          <t>https://www.linkedin.com/in/naphat-pornsiripanich/</t>
        </is>
      </c>
      <c r="F70" s="2" t="inlineStr">
        <is>
          <t>naphat@reachly.co</t>
        </is>
      </c>
      <c r="G70" s="2" t="inlineStr">
        <is>
          <t>pattern_mx_ok</t>
        </is>
      </c>
      <c r="H70" s="2" t="inlineStr">
        <is>
          <t>headcount growth &gt;=10% over 12 months; positioning mentions: smartlead, lemlist</t>
        </is>
      </c>
      <c r="I70" s="2" t="inlineStr">
        <is>
          <t>Clay search export (clay_people_export.csv line 92), 2026-10-25</t>
        </is>
      </c>
      <c r="J70" s="2" t="inlineStr">
        <is>
          <t>Looks like the Reachly team has grown 10%+ in the last 12 months, congrats.</t>
        </is>
      </c>
      <c r="K70" s="2" t="inlineStr">
        <is>
          <t>growth</t>
        </is>
      </c>
      <c r="L70" s="2" t="inlineStr"/>
      <c r="M70" s="2" t="inlineStr">
        <is>
          <t>Thailand</t>
        </is>
      </c>
    </row>
    <row r="71">
      <c r="A71" s="2" t="inlineStr">
        <is>
          <t>Thibault Garcia</t>
        </is>
      </c>
      <c r="B71" s="2" t="inlineStr">
        <is>
          <t>Founder</t>
        </is>
      </c>
      <c r="C71" s="2" t="inlineStr">
        <is>
          <t>Reachly</t>
        </is>
      </c>
      <c r="D71" s="2" t="inlineStr">
        <is>
          <t>reachly.co</t>
        </is>
      </c>
      <c r="E71" s="2" t="inlineStr">
        <is>
          <t>https://www.linkedin.com/in/thibault-garcia/</t>
        </is>
      </c>
      <c r="F71" s="2" t="inlineStr">
        <is>
          <t>thibault@reachly.co</t>
        </is>
      </c>
      <c r="G71" s="2" t="inlineStr">
        <is>
          <t>pattern_mx_ok</t>
        </is>
      </c>
      <c r="H71" s="2" t="inlineStr">
        <is>
          <t>headcount growth &gt;=10% over 12 months; positioning mentions: smartlead, lemlist</t>
        </is>
      </c>
      <c r="I71" s="2" t="inlineStr">
        <is>
          <t>Clay search export (clay_people_export.csv line 81), 2026-10-25</t>
        </is>
      </c>
      <c r="J71" s="2" t="inlineStr">
        <is>
          <t>Saw that Reachly runs client campaigns on Smartlead and lemlist.</t>
        </is>
      </c>
      <c r="K71" s="2" t="inlineStr">
        <is>
          <t>stack</t>
        </is>
      </c>
      <c r="L71" s="2" t="inlineStr"/>
      <c r="M71" s="2" t="inlineStr">
        <is>
          <t>Thailand</t>
        </is>
      </c>
    </row>
    <row r="72">
      <c r="A72" s="2" t="inlineStr">
        <is>
          <t>Sultan Rashid</t>
        </is>
      </c>
      <c r="B72" s="2" t="inlineStr">
        <is>
          <t>Founder &amp; CEO</t>
        </is>
      </c>
      <c r="C72" s="2" t="inlineStr">
        <is>
          <t>Recruitment Revenue</t>
        </is>
      </c>
      <c r="D72" s="2" t="inlineStr">
        <is>
          <t>recruitmentrevenue.com</t>
        </is>
      </c>
      <c r="E72" s="2" t="inlineStr">
        <is>
          <t>https://www.linkedin.com/in/sultanalirashid/</t>
        </is>
      </c>
      <c r="F72" s="2" t="inlineStr">
        <is>
          <t>sultan@recruitmentrevenue.com</t>
        </is>
      </c>
      <c r="G72" s="2" t="inlineStr">
        <is>
          <t>pattern_mx_ok</t>
        </is>
      </c>
      <c r="H72" s="2" t="inlineStr">
        <is>
          <t>headcount growth &gt;=10% over 12 months; positioning mentions: lead generation, meetings, decision-makers</t>
        </is>
      </c>
      <c r="I72" s="2" t="inlineStr">
        <is>
          <t>Clay search export (clay_people_export.csv line 88), 2026-10-25</t>
        </is>
      </c>
      <c r="J72" s="2" t="inlineStr">
        <is>
          <t>Building Recruitment Revenue around outbound for recruitment agencies is a sharp focus.</t>
        </is>
      </c>
      <c r="K72" s="2" t="inlineStr">
        <is>
          <t>niche</t>
        </is>
      </c>
      <c r="L72" s="2" t="inlineStr"/>
      <c r="M72" s="2" t="inlineStr">
        <is>
          <t>United Kingdom</t>
        </is>
      </c>
    </row>
    <row r="73">
      <c r="A73" s="2" t="inlineStr">
        <is>
          <t>Akeeb Khan</t>
        </is>
      </c>
      <c r="B73" s="2" t="inlineStr">
        <is>
          <t>Founder &amp; CEO</t>
        </is>
      </c>
      <c r="C73" s="2" t="inlineStr">
        <is>
          <t>Rev-Empire</t>
        </is>
      </c>
      <c r="D73" s="2" t="inlineStr">
        <is>
          <t>rev-empire.com</t>
        </is>
      </c>
      <c r="E73" s="2" t="inlineStr">
        <is>
          <t>https://www.linkedin.com/in/akeeb-khan-78b2198b/</t>
        </is>
      </c>
      <c r="F73" s="2" t="inlineStr">
        <is>
          <t>akeeb@rev-empire.com</t>
        </is>
      </c>
      <c r="G73" s="2" t="inlineStr">
        <is>
          <t>pattern_mx_ok</t>
        </is>
      </c>
      <c r="H73" s="2" t="inlineStr">
        <is>
          <t>headcount growth &gt;=10% over 6 months; positioning mentions: outbound agency, appointment setting, appointment-setting, outsourced sdr</t>
        </is>
      </c>
      <c r="I73" s="2" t="inlineStr">
        <is>
          <t>Clay search export (clay_people_export.csv line 83), 2026-10-25</t>
        </is>
      </c>
      <c r="J73" s="2" t="inlineStr">
        <is>
          <t>Noticed rev-empire.com publishes DMARC at p=none right now.</t>
        </is>
      </c>
      <c r="K73" s="2" t="inlineStr">
        <is>
          <t>dmarc</t>
        </is>
      </c>
      <c r="L73" s="2" t="inlineStr"/>
      <c r="M73" s="2" t="inlineStr">
        <is>
          <t>United States</t>
        </is>
      </c>
    </row>
    <row r="74">
      <c r="A74" s="2" t="inlineStr">
        <is>
          <t>Zeeshan A.</t>
        </is>
      </c>
      <c r="B74" s="2" t="inlineStr">
        <is>
          <t>Founder</t>
        </is>
      </c>
      <c r="C74" s="2" t="inlineStr">
        <is>
          <t>Robaitec</t>
        </is>
      </c>
      <c r="D74" s="2" t="inlineStr">
        <is>
          <t>robaitec.com</t>
        </is>
      </c>
      <c r="E74" s="2" t="inlineStr">
        <is>
          <t>https://www.linkedin.com/in/alam-zeeshan/</t>
        </is>
      </c>
      <c r="F74" s="2" t="inlineStr">
        <is>
          <t>zeeshan@robaitec.com</t>
        </is>
      </c>
      <c r="G74" s="2" t="inlineStr">
        <is>
          <t>pattern_mx_ok</t>
        </is>
      </c>
      <c r="H74" s="2" t="inlineStr">
        <is>
          <t>headcount growth &gt;=10% over 6 months; positioning mentions: cold email, deliverability, smartlead, instantly</t>
        </is>
      </c>
      <c r="I74" s="2" t="inlineStr">
        <is>
          <t>Clay search export (clay_people_export.csv line 121), 2026-10-25</t>
        </is>
      </c>
      <c r="J74" s="2" t="inlineStr">
        <is>
          <t>Saw that Robaitec runs client campaigns on Instantly, Smartlead and Apollo.</t>
        </is>
      </c>
      <c r="K74" s="2" t="inlineStr">
        <is>
          <t>stack</t>
        </is>
      </c>
      <c r="L74" s="2" t="inlineStr"/>
      <c r="M74" s="2" t="inlineStr">
        <is>
          <t>Pakistan</t>
        </is>
      </c>
    </row>
    <row r="75">
      <c r="A75" s="2" t="inlineStr">
        <is>
          <t>Jamie Petterson</t>
        </is>
      </c>
      <c r="B75" s="2" t="inlineStr">
        <is>
          <t>Co-Founder</t>
        </is>
      </c>
      <c r="C75" s="2" t="inlineStr">
        <is>
          <t>Sales Boutique</t>
        </is>
      </c>
      <c r="D75" s="2" t="inlineStr">
        <is>
          <t>salesboutique.io</t>
        </is>
      </c>
      <c r="E75" s="2" t="inlineStr">
        <is>
          <t>https://www.linkedin.com/in/jamie-petterson/</t>
        </is>
      </c>
      <c r="F75" s="2" t="inlineStr">
        <is>
          <t>jamie@salesboutique.io</t>
        </is>
      </c>
      <c r="G75" s="2" t="inlineStr">
        <is>
          <t>pattern_mx_ok</t>
        </is>
      </c>
      <c r="H75" s="2" t="inlineStr">
        <is>
          <t>headcount growth &gt;=10% over 6 months; positioning mentions: outbound sales, outbound, b2b</t>
        </is>
      </c>
      <c r="I75" s="2" t="inlineStr">
        <is>
          <t>Clay search export (clay_people_export.csv line 111), 2026-10-25</t>
        </is>
      </c>
      <c r="J75" s="2" t="inlineStr">
        <is>
          <t>Noticed salesboutique.io publishes DMARC at p=none right now.</t>
        </is>
      </c>
      <c r="K75" s="2" t="inlineStr">
        <is>
          <t>dmarc</t>
        </is>
      </c>
      <c r="L75" s="2" t="inlineStr"/>
      <c r="M75" s="2" t="inlineStr">
        <is>
          <t>Netherlands</t>
        </is>
      </c>
    </row>
    <row r="76">
      <c r="A76" s="2" t="inlineStr">
        <is>
          <t>Tim Thiele</t>
        </is>
      </c>
      <c r="B76" s="2" t="inlineStr">
        <is>
          <t>Co-Founder</t>
        </is>
      </c>
      <c r="C76" s="2" t="inlineStr">
        <is>
          <t>Sales Boutique</t>
        </is>
      </c>
      <c r="D76" s="2" t="inlineStr">
        <is>
          <t>salesboutique.io</t>
        </is>
      </c>
      <c r="E76" s="2" t="inlineStr">
        <is>
          <t>https://www.linkedin.com/in/tthiele/</t>
        </is>
      </c>
      <c r="F76" s="2" t="inlineStr">
        <is>
          <t>tim@salesboutique.io</t>
        </is>
      </c>
      <c r="G76" s="2" t="inlineStr">
        <is>
          <t>pattern_mx_ok</t>
        </is>
      </c>
      <c r="H76" s="2" t="inlineStr">
        <is>
          <t>headcount growth &gt;=10% over 6 months; positioning mentions: outbound sales, outbound, b2b</t>
        </is>
      </c>
      <c r="I76" s="2" t="inlineStr">
        <is>
          <t>Clay search export (clay_people_export.csv line 109), 2026-10-25</t>
        </is>
      </c>
      <c r="J76" s="2" t="inlineStr">
        <is>
          <t>Running campaigns in 3 languages is a lot of sending setup to keep clean.</t>
        </is>
      </c>
      <c r="K76" s="2" t="inlineStr">
        <is>
          <t>languages</t>
        </is>
      </c>
      <c r="L76" s="2" t="inlineStr"/>
      <c r="M76" s="2" t="inlineStr">
        <is>
          <t>Netherlands</t>
        </is>
      </c>
    </row>
    <row r="77">
      <c r="A77" s="2" t="inlineStr">
        <is>
          <t>Maria Wisniewska</t>
        </is>
      </c>
      <c r="B77" s="2" t="inlineStr">
        <is>
          <t>Director of Growth</t>
        </is>
      </c>
      <c r="C77" s="2" t="inlineStr">
        <is>
          <t>SalesHackers</t>
        </is>
      </c>
      <c r="D77" s="2" t="inlineStr">
        <is>
          <t>saleshackers.io</t>
        </is>
      </c>
      <c r="E77" s="2" t="inlineStr">
        <is>
          <t>https://www.linkedin.com/in/maria-wisniewska-50baba148/</t>
        </is>
      </c>
      <c r="F77" s="2" t="inlineStr">
        <is>
          <t>maria@saleshackers.io</t>
        </is>
      </c>
      <c r="G77" s="2" t="inlineStr">
        <is>
          <t>pattern_mx_ok</t>
        </is>
      </c>
      <c r="H77" s="2" t="inlineStr">
        <is>
          <t>headcount growth &gt;=10% over 6 months; positioning mentions: multichannel outbound, outbound, outreach</t>
        </is>
      </c>
      <c r="I77" s="2" t="inlineStr">
        <is>
          <t>Clay search export (clay_people_export.csv line 106), 2026-10-25</t>
        </is>
      </c>
      <c r="J77" s="2" t="inlineStr">
        <is>
          <t>Looks like the SalesHackers team has grown 10%+ in the last 6 months, congrats.</t>
        </is>
      </c>
      <c r="K77" s="2" t="inlineStr">
        <is>
          <t>growth</t>
        </is>
      </c>
      <c r="L77" s="2" t="inlineStr"/>
      <c r="M77" s="2" t="inlineStr">
        <is>
          <t>Poland</t>
        </is>
      </c>
    </row>
    <row r="78">
      <c r="A78" s="2" t="inlineStr">
        <is>
          <t>Sylwia Jarosz</t>
        </is>
      </c>
      <c r="B78" s="2" t="inlineStr">
        <is>
          <t>Founder</t>
        </is>
      </c>
      <c r="C78" s="2" t="inlineStr">
        <is>
          <t>SalesHackers</t>
        </is>
      </c>
      <c r="D78" s="2" t="inlineStr">
        <is>
          <t>saleshackers.io</t>
        </is>
      </c>
      <c r="E78" s="2" t="inlineStr">
        <is>
          <t>https://www.linkedin.com/in/sylwiajarosz/</t>
        </is>
      </c>
      <c r="F78" s="2" t="inlineStr">
        <is>
          <t>sylwia@saleshackers.io</t>
        </is>
      </c>
      <c r="G78" s="2" t="inlineStr">
        <is>
          <t>pattern_mx_ok</t>
        </is>
      </c>
      <c r="H78" s="2" t="inlineStr">
        <is>
          <t>headcount growth &gt;=10% over 6 months; positioning mentions: multichannel outbound, outbound, outreach</t>
        </is>
      </c>
      <c r="I78" s="2" t="inlineStr">
        <is>
          <t>Clay search export (clay_people_export.csv line 105), 2026-10-25</t>
        </is>
      </c>
      <c r="J78" s="2" t="inlineStr">
        <is>
          <t>Noticed saleshackers.io publishes DMARC at p=none right now.</t>
        </is>
      </c>
      <c r="K78" s="2" t="inlineStr">
        <is>
          <t>dmarc</t>
        </is>
      </c>
      <c r="L78" s="2" t="inlineStr"/>
      <c r="M78" s="2" t="inlineStr">
        <is>
          <t>Poland</t>
        </is>
      </c>
    </row>
    <row r="79">
      <c r="A79" s="2" t="inlineStr">
        <is>
          <t>Ian Levy</t>
        </is>
      </c>
      <c r="B79" s="2" t="inlineStr">
        <is>
          <t>Chief Operating Officer</t>
        </is>
      </c>
      <c r="C79" s="2" t="inlineStr">
        <is>
          <t>SendtoWin</t>
        </is>
      </c>
      <c r="D79" s="2" t="inlineStr">
        <is>
          <t>sendtowin.com</t>
        </is>
      </c>
      <c r="E79" s="2" t="inlineStr">
        <is>
          <t>https://www.linkedin.com/in/ianclevy/</t>
        </is>
      </c>
      <c r="F79" s="2" t="inlineStr">
        <is>
          <t>ian@sendtowin.com</t>
        </is>
      </c>
      <c r="G79" s="2" t="inlineStr">
        <is>
          <t>pattern_mx_ok</t>
        </is>
      </c>
      <c r="H79" s="2" t="inlineStr">
        <is>
          <t>headcount growth &gt;=10% over 6 months; positioning mentions: cold email, outbound, pipeline, b2b</t>
        </is>
      </c>
      <c r="I79" s="2" t="inlineStr">
        <is>
          <t>Clay search export (clay_people_export.csv line 90), 2026-10-25</t>
        </is>
      </c>
      <c r="J79" s="2" t="inlineStr">
        <is>
          <t>Looks like the SendtoWin team has grown 10%+ in the last 6 months, congrats.</t>
        </is>
      </c>
      <c r="K79" s="2" t="inlineStr">
        <is>
          <t>growth</t>
        </is>
      </c>
      <c r="L79" s="2" t="inlineStr"/>
      <c r="M79" s="2" t="inlineStr"/>
    </row>
    <row r="80">
      <c r="A80" s="2" t="inlineStr">
        <is>
          <t>Samuel Shandler</t>
        </is>
      </c>
      <c r="B80" s="2" t="inlineStr">
        <is>
          <t>Co-Founder</t>
        </is>
      </c>
      <c r="C80" s="2" t="inlineStr">
        <is>
          <t>SendtoWin</t>
        </is>
      </c>
      <c r="D80" s="2" t="inlineStr">
        <is>
          <t>sendtowin.com</t>
        </is>
      </c>
      <c r="E80" s="2" t="inlineStr">
        <is>
          <t>https://www.linkedin.com/in/samuelshandler/</t>
        </is>
      </c>
      <c r="F80" s="2" t="inlineStr">
        <is>
          <t>samuel@sendtowin.com</t>
        </is>
      </c>
      <c r="G80" s="2" t="inlineStr">
        <is>
          <t>pattern_mx_ok</t>
        </is>
      </c>
      <c r="H80" s="2" t="inlineStr">
        <is>
          <t>headcount growth &gt;=10% over 6 months; positioning mentions: cold email, outbound, pipeline, b2b</t>
        </is>
      </c>
      <c r="I80" s="2" t="inlineStr">
        <is>
          <t>Clay search export (clay_people_export.csv line 87), 2026-10-25</t>
        </is>
      </c>
      <c r="J80" s="2" t="inlineStr">
        <is>
          <t>Noticed sendtowin.com publishes DMARC at p=none right now.</t>
        </is>
      </c>
      <c r="K80" s="2" t="inlineStr">
        <is>
          <t>dmarc</t>
        </is>
      </c>
      <c r="L80" s="2" t="inlineStr"/>
      <c r="M80" s="2" t="inlineStr"/>
    </row>
    <row r="81">
      <c r="A81" s="2" t="inlineStr">
        <is>
          <t>Benjamin Durrant</t>
        </is>
      </c>
      <c r="B81" s="2" t="inlineStr">
        <is>
          <t>Founder and GTM Engineer</t>
        </is>
      </c>
      <c r="C81" s="2" t="inlineStr">
        <is>
          <t>Silverback Growth</t>
        </is>
      </c>
      <c r="D81" s="2" t="inlineStr">
        <is>
          <t>silverbackgrowth.com</t>
        </is>
      </c>
      <c r="E81" s="2" t="inlineStr">
        <is>
          <t>https://www.linkedin.com/in/benjamin-durrant-874382271/</t>
        </is>
      </c>
      <c r="F81" s="2" t="inlineStr">
        <is>
          <t>benjamin@silverbackgrowth.com</t>
        </is>
      </c>
      <c r="G81" s="2" t="inlineStr">
        <is>
          <t>pattern_mx_ok</t>
        </is>
      </c>
      <c r="H81" s="2" t="inlineStr">
        <is>
          <t>headcount growth &gt;=10% over 6 months; positioning mentions: pipeline, gtm, outreach</t>
        </is>
      </c>
      <c r="I81" s="2" t="inlineStr">
        <is>
          <t>Clay search export (clay_people_export.csv line 77), 2026-10-25</t>
        </is>
      </c>
      <c r="J81" s="2" t="inlineStr">
        <is>
          <t>Noticed silverbackgrowth.com publishes DMARC at p=none right now.</t>
        </is>
      </c>
      <c r="K81" s="2" t="inlineStr">
        <is>
          <t>dmarc</t>
        </is>
      </c>
      <c r="L81" s="2" t="inlineStr"/>
      <c r="M81" s="2" t="inlineStr"/>
    </row>
    <row r="82">
      <c r="A82" s="2" t="inlineStr">
        <is>
          <t>Tomi Tolonen</t>
        </is>
      </c>
      <c r="B82" s="2" t="inlineStr">
        <is>
          <t>Chief Growth Officer</t>
        </is>
      </c>
      <c r="C82" s="2" t="inlineStr">
        <is>
          <t>Strongest Group</t>
        </is>
      </c>
      <c r="D82" s="2" t="inlineStr">
        <is>
          <t>strongestgroup.com</t>
        </is>
      </c>
      <c r="E82" s="2" t="inlineStr">
        <is>
          <t>https://www.linkedin.com/in/tomitolonen/</t>
        </is>
      </c>
      <c r="F82" s="2" t="inlineStr">
        <is>
          <t>tomi@strongestgroup.com</t>
        </is>
      </c>
      <c r="G82" s="2" t="inlineStr">
        <is>
          <t>pattern_mx_ok</t>
        </is>
      </c>
      <c r="H82" s="2" t="inlineStr">
        <is>
          <t>headcount growth &gt;=10% over 6 months; positioning mentions: qualified meetings, multichannel outreach, outbound, meetings</t>
        </is>
      </c>
      <c r="I82" s="2" t="inlineStr">
        <is>
          <t>Clay search export (clay_people_export.csv line 38), 2026-10-25</t>
        </is>
      </c>
      <c r="J82" s="2" t="inlineStr">
        <is>
          <t>Noticed strongestgroup.com publishes DMARC at p=none right now.</t>
        </is>
      </c>
      <c r="K82" s="2" t="inlineStr">
        <is>
          <t>dmarc</t>
        </is>
      </c>
      <c r="L82" s="2" t="inlineStr"/>
      <c r="M82" s="2" t="inlineStr">
        <is>
          <t>Finland</t>
        </is>
      </c>
    </row>
    <row r="83">
      <c r="A83" s="2" t="inlineStr">
        <is>
          <t>Tommi Talasto</t>
        </is>
      </c>
      <c r="B83" s="2" t="inlineStr">
        <is>
          <t>Chief Operating Officer (COO)</t>
        </is>
      </c>
      <c r="C83" s="2" t="inlineStr">
        <is>
          <t>Strongest Group</t>
        </is>
      </c>
      <c r="D83" s="2" t="inlineStr">
        <is>
          <t>strongestgroup.com</t>
        </is>
      </c>
      <c r="E83" s="2" t="inlineStr">
        <is>
          <t>https://www.linkedin.com/in/tommitalasto/</t>
        </is>
      </c>
      <c r="F83" s="2" t="inlineStr">
        <is>
          <t>tommi@strongestgroup.com</t>
        </is>
      </c>
      <c r="G83" s="2" t="inlineStr">
        <is>
          <t>pattern_mx_ok</t>
        </is>
      </c>
      <c r="H83" s="2" t="inlineStr">
        <is>
          <t>headcount growth &gt;=10% over 6 months; positioning mentions: qualified meetings, multichannel outreach, outbound, meetings</t>
        </is>
      </c>
      <c r="I83" s="2" t="inlineStr">
        <is>
          <t>Clay search export (clay_people_export.csv line 40), 2026-10-25</t>
        </is>
      </c>
      <c r="J83" s="2" t="inlineStr">
        <is>
          <t>Looks like the Strongest Group team has grown 10%+ in the last 6 months, congrats.</t>
        </is>
      </c>
      <c r="K83" s="2" t="inlineStr">
        <is>
          <t>growth</t>
        </is>
      </c>
      <c r="L83" s="2" t="inlineStr"/>
      <c r="M83" s="2" t="inlineStr">
        <is>
          <t>Finland</t>
        </is>
      </c>
    </row>
    <row r="84">
      <c r="A84" s="2" t="inlineStr">
        <is>
          <t>Nick Clare</t>
        </is>
      </c>
      <c r="B84" s="2" t="inlineStr">
        <is>
          <t>Co-Founder</t>
        </is>
      </c>
      <c r="C84" s="2" t="inlineStr">
        <is>
          <t>Succession</t>
        </is>
      </c>
      <c r="D84" s="2" t="inlineStr">
        <is>
          <t>succession.bio</t>
        </is>
      </c>
      <c r="E84" s="2" t="inlineStr">
        <is>
          <t>https://www.linkedin.com/in/nick-clare1/</t>
        </is>
      </c>
      <c r="F84" s="2" t="inlineStr">
        <is>
          <t>nick@succession.bio</t>
        </is>
      </c>
      <c r="G84" s="2" t="inlineStr">
        <is>
          <t>pattern_mx_ok</t>
        </is>
      </c>
      <c r="H84" s="2" t="inlineStr">
        <is>
          <t>headcount growth &gt;=10% over 6 months; positioning mentions: outbound sales, outbound</t>
        </is>
      </c>
      <c r="I84" s="2" t="inlineStr">
        <is>
          <t>Clay search export (clay_people_export.csv line 124), 2026-10-25</t>
        </is>
      </c>
      <c r="J84" s="2" t="inlineStr">
        <is>
          <t>Building Succession around outbound for life sciences is a sharp focus.</t>
        </is>
      </c>
      <c r="K84" s="2" t="inlineStr">
        <is>
          <t>niche</t>
        </is>
      </c>
      <c r="L84" s="2" t="inlineStr"/>
      <c r="M84" s="2" t="inlineStr">
        <is>
          <t>United Kingdom</t>
        </is>
      </c>
    </row>
    <row r="85">
      <c r="A85" s="2" t="inlineStr">
        <is>
          <t>Bobby Offterdinger</t>
        </is>
      </c>
      <c r="B85" s="2" t="inlineStr">
        <is>
          <t>Founder + CEO</t>
        </is>
      </c>
      <c r="C85" s="2" t="inlineStr">
        <is>
          <t>TAM to Target</t>
        </is>
      </c>
      <c r="D85" s="2" t="inlineStr">
        <is>
          <t>tamtotarget.com</t>
        </is>
      </c>
      <c r="E85" s="2" t="inlineStr">
        <is>
          <t>https://www.linkedin.com/in/bobbyoffterdinger/</t>
        </is>
      </c>
      <c r="F85" s="2" t="inlineStr">
        <is>
          <t>bobby@tamtotarget.com</t>
        </is>
      </c>
      <c r="G85" s="2" t="inlineStr">
        <is>
          <t>pattern_mx_ok</t>
        </is>
      </c>
      <c r="H85" s="2" t="inlineStr">
        <is>
          <t>headcount growth &gt;=10% over 6 months; positioning mentions: qualified meetings, outbound, meetings, gtm</t>
        </is>
      </c>
      <c r="I85" s="2" t="inlineStr">
        <is>
          <t>Clay search export (clay_people_export.csv line 130), 2026-10-25</t>
        </is>
      </c>
      <c r="J85" s="2" t="inlineStr">
        <is>
          <t>Building TAM to Target around outbound for public sector and K-12 is a sharp focus.</t>
        </is>
      </c>
      <c r="K85" s="2" t="inlineStr">
        <is>
          <t>niche</t>
        </is>
      </c>
      <c r="L85" s="2" t="inlineStr"/>
      <c r="M85" s="2" t="inlineStr">
        <is>
          <t>United States</t>
        </is>
      </c>
    </row>
    <row r="86">
      <c r="A86" s="2" t="inlineStr">
        <is>
          <t>Rose Roberts</t>
        </is>
      </c>
      <c r="B86" s="2" t="inlineStr">
        <is>
          <t>Chief Operating Officer</t>
        </is>
      </c>
      <c r="C86" s="2" t="inlineStr">
        <is>
          <t>TAM to Target</t>
        </is>
      </c>
      <c r="D86" s="2" t="inlineStr">
        <is>
          <t>tamtotarget.com</t>
        </is>
      </c>
      <c r="E86" s="2" t="inlineStr">
        <is>
          <t>https://www.linkedin.com/in/rose-roberts-578330199/</t>
        </is>
      </c>
      <c r="F86" s="2" t="inlineStr">
        <is>
          <t>rose@tamtotarget.com</t>
        </is>
      </c>
      <c r="G86" s="2" t="inlineStr">
        <is>
          <t>pattern_mx_ok</t>
        </is>
      </c>
      <c r="H86" s="2" t="inlineStr">
        <is>
          <t>headcount growth &gt;=10% over 6 months; positioning mentions: qualified meetings, outbound, meetings, gtm</t>
        </is>
      </c>
      <c r="I86" s="2" t="inlineStr">
        <is>
          <t>Clay search export (clay_people_export.csv line 131), 2026-10-25</t>
        </is>
      </c>
      <c r="J86" s="2" t="inlineStr">
        <is>
          <t>Noticed tamtotarget.com publishes DMARC at p=none right now.</t>
        </is>
      </c>
      <c r="K86" s="2" t="inlineStr">
        <is>
          <t>dmarc</t>
        </is>
      </c>
      <c r="L86" s="2" t="inlineStr"/>
      <c r="M86" s="2" t="inlineStr">
        <is>
          <t>United States</t>
        </is>
      </c>
    </row>
    <row r="87">
      <c r="A87" s="2" t="inlineStr">
        <is>
          <t>Jad Ali</t>
        </is>
      </c>
      <c r="B87" s="2" t="inlineStr">
        <is>
          <t>Chief Technology Officer</t>
        </is>
      </c>
      <c r="C87" s="2" t="inlineStr">
        <is>
          <t>The Leads Bridge Group</t>
        </is>
      </c>
      <c r="D87" s="2" t="inlineStr">
        <is>
          <t>leadsbridgegroup.io</t>
        </is>
      </c>
      <c r="E87" s="2" t="inlineStr">
        <is>
          <t>https://www.linkedin.com/in/jad-ali-72645621b/</t>
        </is>
      </c>
      <c r="F87" s="2" t="inlineStr">
        <is>
          <t>jad@leadsbridgegroup.io</t>
        </is>
      </c>
      <c r="G87" s="2" t="inlineStr">
        <is>
          <t>pattern_mx_ok</t>
        </is>
      </c>
      <c r="H87" s="2" t="inlineStr">
        <is>
          <t>headcount growth &gt;=10% over 6 months; positioning mentions: lead generation, pipeline, linkedin outreach, b2b</t>
        </is>
      </c>
      <c r="I87" s="2" t="inlineStr">
        <is>
          <t>Clay search export (clay_people_export.csv line 117), 2026-10-25</t>
        </is>
      </c>
      <c r="J87" s="2" t="inlineStr">
        <is>
          <t>Looks like the The Leads Bridge Group team has grown 10%+ in the last 6 months, congrats.</t>
        </is>
      </c>
      <c r="K87" s="2" t="inlineStr">
        <is>
          <t>growth</t>
        </is>
      </c>
      <c r="L87" s="2" t="inlineStr"/>
      <c r="M87" s="2" t="inlineStr">
        <is>
          <t>Canada</t>
        </is>
      </c>
    </row>
    <row r="88">
      <c r="A88" s="2" t="inlineStr">
        <is>
          <t>Tarek Hariss</t>
        </is>
      </c>
      <c r="B88" s="2" t="inlineStr">
        <is>
          <t>Partner &amp; Head of Business Development</t>
        </is>
      </c>
      <c r="C88" s="2" t="inlineStr">
        <is>
          <t>The Leads Bridge Group</t>
        </is>
      </c>
      <c r="D88" s="2" t="inlineStr">
        <is>
          <t>leadsbridgegroup.io</t>
        </is>
      </c>
      <c r="E88" s="2" t="inlineStr">
        <is>
          <t>https://www.linkedin.com/in/tarek-hariss-2595661a7/</t>
        </is>
      </c>
      <c r="F88" s="2" t="inlineStr">
        <is>
          <t>tarek@leadsbridgegroup.io</t>
        </is>
      </c>
      <c r="G88" s="2" t="inlineStr">
        <is>
          <t>pattern_mx_ok</t>
        </is>
      </c>
      <c r="H88" s="2" t="inlineStr">
        <is>
          <t>headcount growth &gt;=10% over 6 months; positioning mentions: lead generation, pipeline, linkedin outreach, b2b</t>
        </is>
      </c>
      <c r="I88" s="2" t="inlineStr">
        <is>
          <t>Clay search export (clay_people_export.csv line 112), 2026-10-25</t>
        </is>
      </c>
      <c r="J88" s="2" t="inlineStr">
        <is>
          <t>Looks like the The Leads Bridge Group team has grown 10%+ in the last 6 months, congrats.</t>
        </is>
      </c>
      <c r="K88" s="2" t="inlineStr">
        <is>
          <t>growth</t>
        </is>
      </c>
      <c r="L88" s="2" t="inlineStr"/>
      <c r="M88" s="2" t="inlineStr">
        <is>
          <t>Canada</t>
        </is>
      </c>
    </row>
    <row r="89">
      <c r="A89" s="2" t="inlineStr">
        <is>
          <t>Irene Lorite</t>
        </is>
      </c>
      <c r="B89" s="2" t="inlineStr">
        <is>
          <t>Head of Growth</t>
        </is>
      </c>
      <c r="C89" s="2" t="inlineStr">
        <is>
          <t>The Revenue</t>
        </is>
      </c>
      <c r="D89" s="2" t="inlineStr">
        <is>
          <t>therevenue.biz</t>
        </is>
      </c>
      <c r="E89" s="2" t="inlineStr">
        <is>
          <t>https://www.linkedin.com/in/irenelorite/</t>
        </is>
      </c>
      <c r="F89" s="2" t="inlineStr">
        <is>
          <t>irene@therevenue.biz</t>
        </is>
      </c>
      <c r="G89" s="2" t="inlineStr">
        <is>
          <t>pattern_mx_ok</t>
        </is>
      </c>
      <c r="H89" s="2" t="inlineStr">
        <is>
          <t>headcount growth &gt;=10% over 6 months; positioning mentions: pipeline, b2b, go-to-market</t>
        </is>
      </c>
      <c r="I89" s="2" t="inlineStr">
        <is>
          <t>Clay search export (clay_people_export.csv line 76), 2026-10-25</t>
        </is>
      </c>
      <c r="J89" s="2" t="inlineStr">
        <is>
          <t>Noticed therevenue.biz publishes DMARC at p=none right now.</t>
        </is>
      </c>
      <c r="K89" s="2" t="inlineStr">
        <is>
          <t>dmarc</t>
        </is>
      </c>
      <c r="L89" s="2" t="inlineStr"/>
      <c r="M89" s="2" t="inlineStr">
        <is>
          <t>Spain</t>
        </is>
      </c>
    </row>
    <row r="90">
      <c r="A90" s="2" t="inlineStr">
        <is>
          <t>Arnau Ayerbe</t>
        </is>
      </c>
      <c r="B90" s="2" t="inlineStr">
        <is>
          <t>Co-Founder</t>
        </is>
      </c>
      <c r="C90" s="2" t="inlineStr">
        <is>
          <t>throxy</t>
        </is>
      </c>
      <c r="D90" s="2" t="inlineStr">
        <is>
          <t>throxy.com</t>
        </is>
      </c>
      <c r="E90" s="2" t="inlineStr">
        <is>
          <t>https://www.linkedin.com/in/arnau-ayerbe/</t>
        </is>
      </c>
      <c r="F90" s="2" t="inlineStr">
        <is>
          <t>arnau@throxy.com</t>
        </is>
      </c>
      <c r="G90" s="2" t="inlineStr">
        <is>
          <t>pattern_mx_ok</t>
        </is>
      </c>
      <c r="H90" s="2" t="inlineStr">
        <is>
          <t>headcount growth &gt;=10% over 6 months; positioning mentions: outbound sales, qualified meetings, book qualified meetings, outbound</t>
        </is>
      </c>
      <c r="I90" s="2" t="inlineStr">
        <is>
          <t>Clay search export (clay_people_export.csv line 6), 2026-10-25</t>
        </is>
      </c>
      <c r="J90" s="2" t="inlineStr">
        <is>
          <t>Noticed throxy.com publishes DMARC at p=none right now.</t>
        </is>
      </c>
      <c r="K90" s="2" t="inlineStr">
        <is>
          <t>dmarc</t>
        </is>
      </c>
      <c r="L90" s="2" t="inlineStr"/>
      <c r="M90" s="2" t="inlineStr">
        <is>
          <t>United Kingdom</t>
        </is>
      </c>
    </row>
    <row r="91">
      <c r="A91" s="2" t="inlineStr">
        <is>
          <t>Bergen Merey</t>
        </is>
      </c>
      <c r="B91" s="2" t="inlineStr">
        <is>
          <t>Co-Founder - Product &amp; Operations</t>
        </is>
      </c>
      <c r="C91" s="2" t="inlineStr">
        <is>
          <t>throxy</t>
        </is>
      </c>
      <c r="D91" s="2" t="inlineStr">
        <is>
          <t>throxy.com</t>
        </is>
      </c>
      <c r="E91" s="2" t="inlineStr">
        <is>
          <t>https://www.linkedin.com/in/bmerey/</t>
        </is>
      </c>
      <c r="F91" s="2" t="inlineStr">
        <is>
          <t>bergen@throxy.com</t>
        </is>
      </c>
      <c r="G91" s="2" t="inlineStr">
        <is>
          <t>pattern_mx_ok</t>
        </is>
      </c>
      <c r="H91" s="2" t="inlineStr">
        <is>
          <t>headcount growth &gt;=10% over 6 months; positioning mentions: outbound sales, qualified meetings, book qualified meetings, outbound</t>
        </is>
      </c>
      <c r="I91" s="2" t="inlineStr">
        <is>
          <t>Clay search export (clay_people_export.csv line 10), 2026-10-25</t>
        </is>
      </c>
      <c r="J91" s="2" t="inlineStr">
        <is>
          <t>Looks like the throxy team has grown 10%+ in the last 6 months, congrats.</t>
        </is>
      </c>
      <c r="K91" s="2" t="inlineStr">
        <is>
          <t>growth</t>
        </is>
      </c>
      <c r="L91" s="2" t="inlineStr"/>
      <c r="M91" s="2" t="inlineStr">
        <is>
          <t>United Kingdom</t>
        </is>
      </c>
    </row>
    <row r="92">
      <c r="A92" s="2" t="inlineStr">
        <is>
          <t>Albert Enciu</t>
        </is>
      </c>
      <c r="B92" s="2" t="inlineStr">
        <is>
          <t>Co-Founder &amp; CEO</t>
        </is>
      </c>
      <c r="C92" s="2" t="inlineStr">
        <is>
          <t>TNX</t>
        </is>
      </c>
      <c r="D92" s="2" t="inlineStr">
        <is>
          <t>tnx-group.com</t>
        </is>
      </c>
      <c r="E92" s="2" t="inlineStr">
        <is>
          <t>https://www.linkedin.com/in/albertenciuofficial/</t>
        </is>
      </c>
      <c r="F92" s="2" t="inlineStr">
        <is>
          <t>albert@tnx-group.com</t>
        </is>
      </c>
      <c r="G92" s="2" t="inlineStr">
        <is>
          <t>pattern_mx_ok</t>
        </is>
      </c>
      <c r="H92" s="2" t="inlineStr">
        <is>
          <t>headcount growth &gt;=10% over 6 months; positioning mentions: outbound, pipeline, outreach</t>
        </is>
      </c>
      <c r="I92" s="2" t="inlineStr">
        <is>
          <t>Clay search export (clay_people_export.csv line 113), 2026-10-25</t>
        </is>
      </c>
      <c r="J92" s="2" t="inlineStr">
        <is>
          <t>Looks like the TNX team has grown 10%+ in the last 6 months, congrats.</t>
        </is>
      </c>
      <c r="K92" s="2" t="inlineStr">
        <is>
          <t>growth</t>
        </is>
      </c>
      <c r="L92" s="2" t="inlineStr"/>
      <c r="M92" s="2" t="inlineStr">
        <is>
          <t>Romania</t>
        </is>
      </c>
    </row>
    <row r="93">
      <c r="A93" s="2" t="inlineStr">
        <is>
          <t>Mihnea Antoce</t>
        </is>
      </c>
      <c r="B93" s="2" t="inlineStr">
        <is>
          <t>Co-Founder</t>
        </is>
      </c>
      <c r="C93" s="2" t="inlineStr">
        <is>
          <t>TNX</t>
        </is>
      </c>
      <c r="D93" s="2" t="inlineStr">
        <is>
          <t>tnx-group.com</t>
        </is>
      </c>
      <c r="E93" s="2" t="inlineStr">
        <is>
          <t>https://www.linkedin.com/in/mihnea-antoce/</t>
        </is>
      </c>
      <c r="F93" s="2" t="inlineStr">
        <is>
          <t>mihnea@tnx-group.com</t>
        </is>
      </c>
      <c r="G93" s="2" t="inlineStr">
        <is>
          <t>pattern_mx_ok</t>
        </is>
      </c>
      <c r="H93" s="2" t="inlineStr">
        <is>
          <t>headcount growth &gt;=10% over 6 months; positioning mentions: outbound, pipeline, outreach</t>
        </is>
      </c>
      <c r="I93" s="2" t="inlineStr">
        <is>
          <t>Clay search export (clay_people_export.csv line 110), 2026-10-25</t>
        </is>
      </c>
      <c r="J93" s="2" t="inlineStr">
        <is>
          <t>Noticed tnx-group.com publishes DMARC at p=none right now.</t>
        </is>
      </c>
      <c r="K93" s="2" t="inlineStr">
        <is>
          <t>dmarc</t>
        </is>
      </c>
      <c r="L93" s="2" t="inlineStr"/>
      <c r="M93" s="2" t="inlineStr">
        <is>
          <t>Romania</t>
        </is>
      </c>
    </row>
    <row r="94">
      <c r="A94" s="2" t="inlineStr">
        <is>
          <t>Tom Happé</t>
        </is>
      </c>
      <c r="B94" s="2" t="inlineStr">
        <is>
          <t>Founder &amp; CEO</t>
        </is>
      </c>
      <c r="C94" s="2" t="inlineStr">
        <is>
          <t>Trueleads</t>
        </is>
      </c>
      <c r="D94" s="2" t="inlineStr">
        <is>
          <t>trueleads.com</t>
        </is>
      </c>
      <c r="E94" s="2" t="inlineStr">
        <is>
          <t>https://www.linkedin.com/in/tomhappé/</t>
        </is>
      </c>
      <c r="F94" s="2" t="inlineStr">
        <is>
          <t>tom@trueleads.com</t>
        </is>
      </c>
      <c r="G94" s="2" t="inlineStr">
        <is>
          <t>pattern_mx_ok</t>
        </is>
      </c>
      <c r="H94" s="2" t="inlineStr">
        <is>
          <t>headcount growth &gt;=10% over 6 months; positioning mentions: outbound, pipeline, b2b</t>
        </is>
      </c>
      <c r="I94" s="2" t="inlineStr">
        <is>
          <t>Clay search export (clay_people_export.csv line 123), 2026-10-25</t>
        </is>
      </c>
      <c r="J94" s="2" t="inlineStr">
        <is>
          <t>Looks like the Trueleads team has grown 10%+ in the last 6 months, congrats.</t>
        </is>
      </c>
      <c r="K94" s="2" t="inlineStr">
        <is>
          <t>growth</t>
        </is>
      </c>
      <c r="L94" s="2" t="inlineStr"/>
      <c r="M94" s="2" t="inlineStr">
        <is>
          <t>United Kingdom</t>
        </is>
      </c>
    </row>
    <row r="95">
      <c r="A95" s="2" t="inlineStr">
        <is>
          <t>Elena Lehmann</t>
        </is>
      </c>
      <c r="B95" s="2" t="inlineStr">
        <is>
          <t>Co-Founder | SDR Lead</t>
        </is>
      </c>
      <c r="C95" s="2" t="inlineStr">
        <is>
          <t>UltB</t>
        </is>
      </c>
      <c r="D95" s="2" t="inlineStr">
        <is>
          <t>ultb.io</t>
        </is>
      </c>
      <c r="E95" s="2" t="inlineStr">
        <is>
          <t>https://www.linkedin.com/in/elena-lehmann-/</t>
        </is>
      </c>
      <c r="F95" s="2" t="inlineStr">
        <is>
          <t>elena@ultb.io</t>
        </is>
      </c>
      <c r="G95" s="2" t="inlineStr">
        <is>
          <t>pattern_mx_ok</t>
        </is>
      </c>
      <c r="H95" s="2" t="inlineStr">
        <is>
          <t>headcount growth &gt;=10% over 6 months; positioning mentions: appointments, b2b, decision-makers, appointment</t>
        </is>
      </c>
      <c r="I95" s="2" t="inlineStr">
        <is>
          <t>Clay search export (clay_people_export.csv line 31), 2026-10-25</t>
        </is>
      </c>
      <c r="J95" s="2" t="inlineStr">
        <is>
          <t>Looks like the UltB team has grown 10%+ in the last 6 months, congrats.</t>
        </is>
      </c>
      <c r="K95" s="2" t="inlineStr">
        <is>
          <t>growth</t>
        </is>
      </c>
      <c r="L95" s="2" t="inlineStr"/>
      <c r="M95" s="2" t="inlineStr">
        <is>
          <t>Germany</t>
        </is>
      </c>
    </row>
    <row r="96">
      <c r="A96" s="2" t="inlineStr">
        <is>
          <t>Igor Shapiro</t>
        </is>
      </c>
      <c r="B96" s="2" t="inlineStr">
        <is>
          <t>Founder and Managing Partner</t>
        </is>
      </c>
      <c r="C96" s="2" t="inlineStr">
        <is>
          <t>UltB</t>
        </is>
      </c>
      <c r="D96" s="2" t="inlineStr">
        <is>
          <t>ultb.io</t>
        </is>
      </c>
      <c r="E96" s="2" t="inlineStr">
        <is>
          <t>https://www.linkedin.com/in/igorshapiro/</t>
        </is>
      </c>
      <c r="F96" s="2" t="inlineStr">
        <is>
          <t>igor@ultb.io</t>
        </is>
      </c>
      <c r="G96" s="2" t="inlineStr">
        <is>
          <t>pattern_mx_ok</t>
        </is>
      </c>
      <c r="H96" s="2" t="inlineStr">
        <is>
          <t>headcount growth &gt;=10% over 6 months; positioning mentions: appointments, b2b, decision-makers, appointment</t>
        </is>
      </c>
      <c r="I96" s="2" t="inlineStr">
        <is>
          <t>Clay search export (clay_people_export.csv line 27), 2026-10-25</t>
        </is>
      </c>
      <c r="J96" s="2" t="inlineStr">
        <is>
          <t>Noticed ultb.io publishes DMARC at p=none right now.</t>
        </is>
      </c>
      <c r="K96" s="2" t="inlineStr">
        <is>
          <t>dmarc</t>
        </is>
      </c>
      <c r="L96" s="2" t="inlineStr"/>
      <c r="M96" s="2" t="inlineStr">
        <is>
          <t>Germany</t>
        </is>
      </c>
    </row>
    <row r="97">
      <c r="A97" s="2" t="inlineStr">
        <is>
          <t>Illia Lisovskyi</t>
        </is>
      </c>
      <c r="B97" s="2" t="inlineStr">
        <is>
          <t>Managing Partner</t>
        </is>
      </c>
      <c r="C97" s="2" t="inlineStr">
        <is>
          <t>VirtuWise</t>
        </is>
      </c>
      <c r="D97" s="2" t="inlineStr">
        <is>
          <t>virtuwise.io</t>
        </is>
      </c>
      <c r="E97" s="2" t="inlineStr">
        <is>
          <t>https://www.linkedin.com/in/ilisovskyi/</t>
        </is>
      </c>
      <c r="F97" s="2" t="inlineStr">
        <is>
          <t>illia@virtuwise.io</t>
        </is>
      </c>
      <c r="G97" s="2" t="inlineStr">
        <is>
          <t>pattern_mx_ok</t>
        </is>
      </c>
      <c r="H97" s="2" t="inlineStr">
        <is>
          <t>headcount growth &gt;=10% over 6 months; positioning mentions: email outreach, b2b, outreach</t>
        </is>
      </c>
      <c r="I97" s="2" t="inlineStr">
        <is>
          <t>Clay search export (clay_people_export.csv line 70), 2026-10-25</t>
        </is>
      </c>
      <c r="J97" s="2" t="inlineStr">
        <is>
          <t>Looks like the VirtuWise team has grown 10%+ in the last 6 months, congrats.</t>
        </is>
      </c>
      <c r="K97" s="2" t="inlineStr">
        <is>
          <t>growth</t>
        </is>
      </c>
      <c r="L97" s="2" t="inlineStr"/>
      <c r="M97" s="2" t="inlineStr">
        <is>
          <t>Switzerland</t>
        </is>
      </c>
    </row>
    <row r="98">
      <c r="A98" s="2" t="inlineStr">
        <is>
          <t>Oleksandr Bilyi</t>
        </is>
      </c>
      <c r="B98" s="2" t="inlineStr">
        <is>
          <t>Managing Partner</t>
        </is>
      </c>
      <c r="C98" s="2" t="inlineStr">
        <is>
          <t>VirtuWise</t>
        </is>
      </c>
      <c r="D98" s="2" t="inlineStr">
        <is>
          <t>virtuwise.io</t>
        </is>
      </c>
      <c r="E98" s="2" t="inlineStr">
        <is>
          <t>https://www.linkedin.com/in/bilyialex/</t>
        </is>
      </c>
      <c r="F98" s="2" t="inlineStr">
        <is>
          <t>oleksandr@virtuwise.io</t>
        </is>
      </c>
      <c r="G98" s="2" t="inlineStr">
        <is>
          <t>pattern_mx_ok</t>
        </is>
      </c>
      <c r="H98" s="2" t="inlineStr">
        <is>
          <t>headcount growth &gt;=10% over 6 months; positioning mentions: email outreach, b2b, outreach</t>
        </is>
      </c>
      <c r="I98" s="2" t="inlineStr">
        <is>
          <t>Clay search export (clay_people_export.csv line 67), 2026-10-25</t>
        </is>
      </c>
      <c r="J98" s="2" t="inlineStr">
        <is>
          <t>Looks like the VirtuWise team has grown 10%+ in the last 6 months, congrats.</t>
        </is>
      </c>
      <c r="K98" s="2" t="inlineStr">
        <is>
          <t>growth</t>
        </is>
      </c>
      <c r="L98" s="2" t="inlineStr"/>
      <c r="M98" s="2" t="inlineStr">
        <is>
          <t>Switzerland</t>
        </is>
      </c>
    </row>
    <row r="99">
      <c r="A99" s="2" t="inlineStr">
        <is>
          <t>Tom Simpson</t>
        </is>
      </c>
      <c r="B99" s="2" t="inlineStr">
        <is>
          <t>Founder &amp; Group CEO</t>
        </is>
      </c>
      <c r="C99" s="2" t="inlineStr">
        <is>
          <t>We Are Team Rocket</t>
        </is>
      </c>
      <c r="D99" s="2" t="inlineStr">
        <is>
          <t>weareteamrocket.com</t>
        </is>
      </c>
      <c r="E99" s="2" t="inlineStr">
        <is>
          <t>https://www.linkedin.com/in/challengetomsimpson/</t>
        </is>
      </c>
      <c r="F99" s="2" t="inlineStr">
        <is>
          <t>tom@weareteamrocket.com</t>
        </is>
      </c>
      <c r="G99" s="2" t="inlineStr">
        <is>
          <t>pattern_mx_ok</t>
        </is>
      </c>
      <c r="H99" s="2" t="inlineStr">
        <is>
          <t>headcount growth &gt;=10% over 6 months; positioning mentions: pipeline, decision-makers</t>
        </is>
      </c>
      <c r="I99" s="2" t="inlineStr">
        <is>
          <t>Clay search export (clay_people_export.csv line 20), 2026-10-25</t>
        </is>
      </c>
      <c r="J99" s="2" t="inlineStr">
        <is>
          <t>Noticed weareteamrocket.com publishes DMARC at p=none right now.</t>
        </is>
      </c>
      <c r="K99" s="2" t="inlineStr">
        <is>
          <t>dmarc</t>
        </is>
      </c>
      <c r="L99" s="2" t="inlineStr"/>
      <c r="M99" s="2" t="inlineStr">
        <is>
          <t>United Kingdom</t>
        </is>
      </c>
    </row>
    <row r="100">
      <c r="A100" s="2" t="inlineStr">
        <is>
          <t>Dan Rosenthal</t>
        </is>
      </c>
      <c r="B100" s="2" t="inlineStr">
        <is>
          <t>Co-Founder</t>
        </is>
      </c>
      <c r="C100" s="2" t="inlineStr">
        <is>
          <t>Workflows.io</t>
        </is>
      </c>
      <c r="D100" s="2" t="inlineStr">
        <is>
          <t>workflows.io</t>
        </is>
      </c>
      <c r="E100" s="2" t="inlineStr">
        <is>
          <t>https://www.linkedin.com/in/dann-rosenthal/</t>
        </is>
      </c>
      <c r="F100" s="2" t="inlineStr">
        <is>
          <t>dan@workflows.io</t>
        </is>
      </c>
      <c r="G100" s="2" t="inlineStr">
        <is>
          <t>pattern_mx_ok</t>
        </is>
      </c>
      <c r="H100" s="2" t="inlineStr">
        <is>
          <t>headcount growth &gt;=10% over 6 months; positioning mentions: outbound, gtm</t>
        </is>
      </c>
      <c r="I100" s="2" t="inlineStr">
        <is>
          <t>Clay search export (clay_people_export.csv line 64), 2026-10-25</t>
        </is>
      </c>
      <c r="J100" s="2" t="inlineStr">
        <is>
          <t>Noticed workflows.io publishes DMARC at p=none right now.</t>
        </is>
      </c>
      <c r="K100" s="2" t="inlineStr">
        <is>
          <t>dmarc</t>
        </is>
      </c>
      <c r="L100" s="2" t="inlineStr"/>
      <c r="M100" s="2" t="inlineStr">
        <is>
          <t>United States</t>
        </is>
      </c>
    </row>
    <row r="101">
      <c r="A101" s="2" t="inlineStr">
        <is>
          <t>Fivos Aresti</t>
        </is>
      </c>
      <c r="B101" s="2" t="inlineStr">
        <is>
          <t>Co-Founder</t>
        </is>
      </c>
      <c r="C101" s="2" t="inlineStr">
        <is>
          <t>Workflows.io</t>
        </is>
      </c>
      <c r="D101" s="2" t="inlineStr">
        <is>
          <t>workflows.io</t>
        </is>
      </c>
      <c r="E101" s="2" t="inlineStr">
        <is>
          <t>https://www.linkedin.com/in/fivosaresti/</t>
        </is>
      </c>
      <c r="F101" s="2" t="inlineStr">
        <is>
          <t>fivos@workflows.io</t>
        </is>
      </c>
      <c r="G101" s="2" t="inlineStr">
        <is>
          <t>pattern_mx_ok</t>
        </is>
      </c>
      <c r="H101" s="2" t="inlineStr">
        <is>
          <t>headcount growth &gt;=10% over 6 months; positioning mentions: outbound, gtm</t>
        </is>
      </c>
      <c r="I101" s="2" t="inlineStr">
        <is>
          <t>Clay search export (clay_people_export.csv line 65), 2026-10-25</t>
        </is>
      </c>
      <c r="J101" s="2" t="inlineStr">
        <is>
          <t>Looks like the Workflows.io team has grown 10%+ in the last 6 months, congrats.</t>
        </is>
      </c>
      <c r="K101" s="2" t="inlineStr">
        <is>
          <t>growth</t>
        </is>
      </c>
      <c r="L101" s="2" t="inlineStr"/>
      <c r="M101" s="2" t="inlineStr">
        <is>
          <t>United States</t>
        </is>
      </c>
    </row>
  </sheetData>
  <autoFilter ref="A1:M101"/>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52" customWidth="1" min="1" max="1"/>
    <col width="16" customWidth="1" min="2" max="2"/>
    <col width="90" customWidth="1" min="3" max="3"/>
  </cols>
  <sheetData>
    <row r="1" ht="150" customHeight="1">
      <c r="A1" s="3" t="inlineStr">
        <is>
          <t>Scaling to 2,000 rows. The pipeline does not change: pull about 3,700 raw rows from Clay search, run `run.py build` (it took under a minute and no network in --offline mode for 138 rows), and the same dedupe, suppression and email checks apply. What changes is where each email comes from. At 2,000 rows the free first@domain guess is not good enough to send on, so Prospeo finds a verified address for each contact, ZeroBounce re-checks every one before it enters a sequence, and the Clay signal prompt writes the opener for every final row. Using the plans chosen (Clay Launch, Prospeo Starter, ZeroBounce pay as you go, three HeyReach senders, pre-warmed InboxKit mailboxes) the model below comes to about $0.38 per contact for data and about $0.71 all in for the first month. The biggest lever is Clay credits: if the signal prompt bills against Actions rather than Data Credits, or runs only on rows with no free signal, the data cost roughly halves. Every blue cell is an input and the totals recalculate.</t>
        </is>
      </c>
    </row>
    <row r="2">
      <c r="A2" s="4" t="inlineStr">
        <is>
          <t>Volume</t>
        </is>
      </c>
    </row>
    <row r="3">
      <c r="A3" s="2" t="inlineStr">
        <is>
          <t>Final contacts in the list</t>
        </is>
      </c>
      <c r="B3" s="5" t="n">
        <v>2000</v>
      </c>
      <c r="C3" s="6" t="inlineStr">
        <is>
          <t>Target from the brief.</t>
        </is>
      </c>
    </row>
    <row r="4">
      <c r="A4" s="2" t="inlineStr">
        <is>
          <t>Pipeline pass rate, raw rows to final</t>
        </is>
      </c>
      <c r="B4" s="7" t="n">
        <v>0.725</v>
      </c>
      <c r="C4" s="6" t="inlineStr">
        <is>
          <t>From this run: 100 final rows from 138 raw Clay rows (rejects.csv lists why).</t>
        </is>
      </c>
    </row>
    <row r="5">
      <c r="A5" s="2" t="inlineStr">
        <is>
          <t>Prospeo find rate (verified email found)</t>
        </is>
      </c>
      <c r="B5" s="7" t="n">
        <v>0.75</v>
      </c>
      <c r="C5" s="6" t="inlineStr">
        <is>
          <t>Assumption. Replace with Prospeo's hit rate on the first 200 rows.</t>
        </is>
      </c>
    </row>
    <row r="6">
      <c r="A6" s="2" t="inlineStr">
        <is>
          <t>Contacts needing an email lookup</t>
        </is>
      </c>
      <c r="B6" s="8">
        <f>B3/B5</f>
        <v/>
      </c>
    </row>
    <row r="7">
      <c r="A7" s="2" t="inlineStr">
        <is>
          <t>Raw Clay rows to pull</t>
        </is>
      </c>
      <c r="B7" s="8">
        <f>B6/B4</f>
        <v/>
      </c>
      <c r="C7" s="6" t="inlineStr">
        <is>
          <t>Clay Launch includes unlimited search (clay.com/pricing), so pulling rows is not the cost.</t>
        </is>
      </c>
    </row>
    <row r="8">
      <c r="A8" s="4" t="inlineStr">
        <is>
          <t>Clay: Launch plan</t>
        </is>
      </c>
    </row>
    <row r="9">
      <c r="A9" s="2" t="inlineStr">
        <is>
          <t>Launch plan, per month ($)</t>
        </is>
      </c>
      <c r="B9" s="9" t="n">
        <v>185</v>
      </c>
      <c r="C9" s="6" t="inlineStr">
        <is>
          <t>User's plan choice (quoted as $184). clay.com/pricing lists Launch at $185/mo monthly, $167/mo annual.</t>
        </is>
      </c>
    </row>
    <row r="10">
      <c r="A10" s="2" t="inlineStr">
        <is>
          <t>Data credits included per month</t>
        </is>
      </c>
      <c r="B10" s="5" t="n">
        <v>2500</v>
      </c>
      <c r="C10" s="6" t="inlineStr">
        <is>
          <t>clay.com/pricing: Launch, 2.5K data credits/mo.</t>
        </is>
      </c>
    </row>
    <row r="11">
      <c r="A11" s="2" t="inlineStr">
        <is>
          <t>Credits per row for the signal-line prompt</t>
        </is>
      </c>
      <c r="B11" s="5" t="n">
        <v>5</v>
      </c>
      <c r="C11" s="6" t="inlineStr">
        <is>
          <t>User estimate: 4 to 5 credits per row. Upper end used. If Claygent bills Actions instead (15K/mo on Launch), overage falls to zero.</t>
        </is>
      </c>
    </row>
    <row r="12">
      <c r="A12" s="2" t="inlineStr">
        <is>
          <t>Rows run through the signal prompt</t>
        </is>
      </c>
      <c r="B12" s="8">
        <f>B3</f>
        <v/>
      </c>
      <c r="C12" s="6" t="inlineStr">
        <is>
          <t>Run on final contacts only, after dedupe and checks.</t>
        </is>
      </c>
    </row>
    <row r="13">
      <c r="A13" s="2" t="inlineStr">
        <is>
          <t>Credits needed</t>
        </is>
      </c>
      <c r="B13" s="8">
        <f>B11*B12</f>
        <v/>
      </c>
    </row>
    <row r="14">
      <c r="A14" s="2" t="inlineStr">
        <is>
          <t>Credits over the plan</t>
        </is>
      </c>
      <c r="B14" s="8">
        <f>MAX(0,B13-B10)</f>
        <v/>
      </c>
    </row>
    <row r="15">
      <c r="A15" s="2" t="inlineStr">
        <is>
          <t>Top-up price per data credit ($)</t>
        </is>
      </c>
      <c r="B15" s="10" t="n">
        <v>0.065</v>
      </c>
      <c r="C15" s="6" t="inlineStr">
        <is>
          <t>clay.com/pricing: data credits from $0.05, Launch top-ups carry a 30% premium, so $0.065.</t>
        </is>
      </c>
    </row>
    <row r="16">
      <c r="A16" s="2" t="inlineStr">
        <is>
          <t>Clay total ($)</t>
        </is>
      </c>
      <c r="B16" s="11">
        <f>B9+B14*B15</f>
        <v/>
      </c>
    </row>
    <row r="17">
      <c r="A17" s="4" t="inlineStr">
        <is>
          <t>Prospeo: email finding</t>
        </is>
      </c>
    </row>
    <row r="18">
      <c r="A18" s="2" t="inlineStr">
        <is>
          <t>Starter plan, per month ($)</t>
        </is>
      </c>
      <c r="B18" s="9" t="n">
        <v>49</v>
      </c>
      <c r="C18" s="6" t="inlineStr">
        <is>
          <t>User's plan choice (base plan). 2026 third-party pricing reviews list Starter at $49/mo with 2,000 credits; confirm on prospeo.io.</t>
        </is>
      </c>
    </row>
    <row r="19">
      <c r="A19" s="2" t="inlineStr">
        <is>
          <t>Starter credits per month</t>
        </is>
      </c>
      <c r="B19" s="5" t="n">
        <v>2000</v>
      </c>
      <c r="C19" s="6" t="inlineStr">
        <is>
          <t>Same source as above.</t>
        </is>
      </c>
    </row>
    <row r="20">
      <c r="A20" s="2" t="inlineStr">
        <is>
          <t>Next plan (Growth), per month ($)</t>
        </is>
      </c>
      <c r="B20" s="9" t="n">
        <v>99</v>
      </c>
      <c r="C20" s="6" t="inlineStr">
        <is>
          <t>Growth: $99/mo, 5,000 credits (same source).</t>
        </is>
      </c>
    </row>
    <row r="21">
      <c r="A21" s="2" t="inlineStr">
        <is>
          <t>Credits per found email</t>
        </is>
      </c>
      <c r="B21" s="5" t="n">
        <v>1</v>
      </c>
      <c r="C21" s="6" t="inlineStr">
        <is>
          <t>1 credit per verified email found; assumed charged only on finds.</t>
        </is>
      </c>
    </row>
    <row r="22">
      <c r="A22" s="2" t="inlineStr">
        <is>
          <t>Credits needed</t>
        </is>
      </c>
      <c r="B22" s="8">
        <f>B3*B21</f>
        <v/>
      </c>
    </row>
    <row r="23">
      <c r="A23" s="2" t="inlineStr">
        <is>
          <t>Prospeo total ($)</t>
        </is>
      </c>
      <c r="B23" s="11">
        <f>IF(B22&lt;=B19,B18,B20)</f>
        <v/>
      </c>
    </row>
    <row r="24">
      <c r="A24" s="4" t="inlineStr">
        <is>
          <t>ZeroBounce: second-pass verification</t>
        </is>
      </c>
    </row>
    <row r="25">
      <c r="A25" s="2" t="inlineStr">
        <is>
          <t>Pay-as-you-go pack price ($)</t>
        </is>
      </c>
      <c r="B25" s="9" t="n">
        <v>39</v>
      </c>
      <c r="C25" s="6" t="inlineStr">
        <is>
          <t>zerobounce.net pricing: pay as you go starts at $39 for 2,000 validations (minimum purchase).</t>
        </is>
      </c>
    </row>
    <row r="26">
      <c r="A26" s="2" t="inlineStr">
        <is>
          <t>Validations per pack</t>
        </is>
      </c>
      <c r="B26" s="5" t="n">
        <v>2000</v>
      </c>
      <c r="C26" s="6" t="inlineStr">
        <is>
          <t>Same source.</t>
        </is>
      </c>
    </row>
    <row r="27">
      <c r="A27" s="2" t="inlineStr">
        <is>
          <t>Emails to verify</t>
        </is>
      </c>
      <c r="B27" s="8">
        <f>B3</f>
        <v/>
      </c>
      <c r="C27" s="6" t="inlineStr">
        <is>
          <t>Every found email is re-checked before it enters a sequence.</t>
        </is>
      </c>
    </row>
    <row r="28">
      <c r="A28" s="2" t="inlineStr">
        <is>
          <t>ZeroBounce total ($)</t>
        </is>
      </c>
      <c r="B28" s="11">
        <f>ROUNDUP(B27/B26,0)*B25</f>
        <v/>
      </c>
    </row>
    <row r="29">
      <c r="A29" s="4" t="inlineStr">
        <is>
          <t>HeyReach: LinkedIn outreach</t>
        </is>
      </c>
    </row>
    <row r="30">
      <c r="A30" s="2" t="inlineStr">
        <is>
          <t>Growth plan, per sender per month ($)</t>
        </is>
      </c>
      <c r="B30" s="9" t="n">
        <v>79</v>
      </c>
      <c r="C30" s="6" t="inlineStr">
        <is>
          <t>heyreach.io/pricing: Growth $79 per sender, monthly billing.</t>
        </is>
      </c>
    </row>
    <row r="31">
      <c r="A31" s="2" t="inlineStr">
        <is>
          <t>LinkedIn sender accounts</t>
        </is>
      </c>
      <c r="B31" s="5" t="n">
        <v>3</v>
      </c>
      <c r="C31" s="6" t="inlineStr">
        <is>
          <t>From the memo: 3 senders, about 70 connects a week each.</t>
        </is>
      </c>
    </row>
    <row r="32">
      <c r="A32" s="2" t="inlineStr">
        <is>
          <t>HeyReach total ($)</t>
        </is>
      </c>
      <c r="B32" s="11">
        <f>B30*B31</f>
        <v/>
      </c>
    </row>
    <row r="33">
      <c r="A33" s="4" t="inlineStr">
        <is>
          <t>InboxKit: sending infrastructure</t>
        </is>
      </c>
    </row>
    <row r="34">
      <c r="A34" s="2" t="inlineStr">
        <is>
          <t>Emails per contact</t>
        </is>
      </c>
      <c r="B34" s="5" t="n">
        <v>4</v>
      </c>
      <c r="C34" s="6" t="inlineStr">
        <is>
          <t>Sequence in copy/: 4 emails.</t>
        </is>
      </c>
    </row>
    <row r="35">
      <c r="A35" s="2" t="inlineStr">
        <is>
          <t>Sending days</t>
        </is>
      </c>
      <c r="B35" s="5" t="n">
        <v>15</v>
      </c>
      <c r="C35" s="6" t="inlineStr">
        <is>
          <t>3-week plan, business days.</t>
        </is>
      </c>
    </row>
    <row r="36">
      <c r="A36" s="2" t="inlineStr">
        <is>
          <t>Peak day vs average</t>
        </is>
      </c>
      <c r="B36" s="12" t="n">
        <v>1.1</v>
      </c>
      <c r="C36" s="6" t="inlineStr">
        <is>
          <t>Daily cohorts overlap with follow-ups; about 10% above average.</t>
        </is>
      </c>
    </row>
    <row r="37">
      <c r="A37" s="2" t="inlineStr">
        <is>
          <t>Peak sends per day</t>
        </is>
      </c>
      <c r="B37" s="8">
        <f>B3*B34/B35*B36</f>
        <v/>
      </c>
    </row>
    <row r="38">
      <c r="A38" s="2" t="inlineStr">
        <is>
          <t>Cold emails per mailbox per day</t>
        </is>
      </c>
      <c r="B38" s="5" t="n">
        <v>15</v>
      </c>
      <c r="C38" s="6" t="inlineStr">
        <is>
          <t>inboxkit.com/email-warmup: 10 to 15 per mailbox per day after warmup, max 3 mailboxes per domain.</t>
        </is>
      </c>
    </row>
    <row r="39">
      <c r="A39" s="2" t="inlineStr">
        <is>
          <t>Mailboxes</t>
        </is>
      </c>
      <c r="B39" s="8">
        <f>ROUNDUP(B37/B38,0)</f>
        <v/>
      </c>
    </row>
    <row r="40">
      <c r="A40" s="2" t="inlineStr">
        <is>
          <t>Domains (3 mailboxes each)</t>
        </is>
      </c>
      <c r="B40" s="8">
        <f>ROUNDUP(B39/3,0)</f>
        <v/>
      </c>
    </row>
    <row r="41">
      <c r="A41" s="2" t="inlineStr">
        <is>
          <t>Pre-warmed mailbox, per month ($)</t>
        </is>
      </c>
      <c r="B41" s="13" t="n">
        <v>6</v>
      </c>
      <c r="C41" s="6" t="inlineStr">
        <is>
          <t>inboxkit.com/pricing: pre-warmed Google/Microsoft mailboxes from $6/mo (2 to 4 weeks warmed).</t>
        </is>
      </c>
    </row>
    <row r="42">
      <c r="A42" s="2" t="inlineStr">
        <is>
          <t>Pre-warmed domain, one time ($)</t>
        </is>
      </c>
      <c r="B42" s="13" t="n">
        <v>12.5</v>
      </c>
      <c r="C42" s="6" t="inlineStr">
        <is>
          <t>inboxkit.com/pricing: pre-warmed domain fee from $12.50.</t>
        </is>
      </c>
    </row>
    <row r="43">
      <c r="A43" s="2" t="inlineStr">
        <is>
          <t>InboxKit total ($)</t>
        </is>
      </c>
      <c r="B43" s="11">
        <f>B39*B41+B40*B42</f>
        <v/>
      </c>
    </row>
    <row r="44">
      <c r="A44" s="4" t="inlineStr">
        <is>
          <t>Total</t>
        </is>
      </c>
    </row>
    <row r="45">
      <c r="A45" s="2" t="inlineStr">
        <is>
          <t>Total for 2,000 contacts, first month ($)</t>
        </is>
      </c>
      <c r="B45" s="14">
        <f>B16+B23+B28+B32+B43</f>
        <v/>
      </c>
    </row>
    <row r="46">
      <c r="A46" s="2" t="inlineStr">
        <is>
          <t>Cost per contact, all in ($)</t>
        </is>
      </c>
      <c r="B46" s="15">
        <f>B45/B3</f>
        <v/>
      </c>
    </row>
    <row r="47">
      <c r="A47" s="2" t="inlineStr">
        <is>
          <t>Cost per contact, data only: Clay + Prospeo + ZeroBounce ($)</t>
        </is>
      </c>
      <c r="B47" s="15">
        <f>(B16+B23+B28)/B3</f>
        <v/>
      </c>
    </row>
    <row r="49">
      <c r="A49" s="16" t="inlineStr">
        <is>
          <t>Legend: blue on yellow = input you can change; black = formula.</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2026-10-25T13:10:53Z</dcterms:created>
  <dcterms:modified xsi:type="dcterms:W3CDTF">2026-10-25T13:10:53Z</dcterms:modified>
</cp:coreProperties>
</file>